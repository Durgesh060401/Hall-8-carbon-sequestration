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ee data" sheetId="1" r:id="rId5"/>
  </sheets>
  <definedNames/>
  <calcPr/>
  <pivotCaches>
    <pivotCache cacheId="0" r:id="rId6"/>
    <pivotCache cacheId="1" r:id="rId7"/>
  </pivotCaches>
</workbook>
</file>

<file path=xl/sharedStrings.xml><?xml version="1.0" encoding="utf-8"?>
<sst xmlns="http://schemas.openxmlformats.org/spreadsheetml/2006/main" count="757" uniqueCount="80">
  <si>
    <t>Block and pathway</t>
  </si>
  <si>
    <t>General name</t>
  </si>
  <si>
    <t>Scientific name</t>
  </si>
  <si>
    <t>Trunks</t>
  </si>
  <si>
    <t>Circumference (in cm)</t>
  </si>
  <si>
    <t>DBH (in cm)</t>
  </si>
  <si>
    <t>Adjusted DBH  (in cm)</t>
  </si>
  <si>
    <t>Hight (in M)</t>
  </si>
  <si>
    <t>Density</t>
  </si>
  <si>
    <t>AGB  Stem</t>
  </si>
  <si>
    <t>AGB Foliage Biomass</t>
  </si>
  <si>
    <t>BGB (in Kg)</t>
  </si>
  <si>
    <t>TB (in Kg)</t>
  </si>
  <si>
    <t>COUNTA of Scientific name</t>
  </si>
  <si>
    <t>SUM of AGB  Stem</t>
  </si>
  <si>
    <t>SUM of AGB Foliage Biomass</t>
  </si>
  <si>
    <t>SUM of BGB (in Kg)</t>
  </si>
  <si>
    <t>SUM of TB (in Kg)</t>
  </si>
  <si>
    <t>Data summary</t>
  </si>
  <si>
    <t>Outer road</t>
  </si>
  <si>
    <t>False Ashoka</t>
  </si>
  <si>
    <t>Polyalthia longifolia</t>
  </si>
  <si>
    <t>Ailanthus excelsa</t>
  </si>
  <si>
    <t>BW Block A-B</t>
  </si>
  <si>
    <t>BW Block B-C</t>
  </si>
  <si>
    <t>BW Block C-D</t>
  </si>
  <si>
    <t>BW Block D-Mess</t>
  </si>
  <si>
    <t>BW Block E-Mess</t>
  </si>
  <si>
    <t>BW Block F - E</t>
  </si>
  <si>
    <t>BW Block H - G</t>
  </si>
  <si>
    <t>BW Hall office - Block H</t>
  </si>
  <si>
    <t>Mess front</t>
  </si>
  <si>
    <t>Grand Total</t>
  </si>
  <si>
    <t>Mango</t>
  </si>
  <si>
    <t>Mangifera indica</t>
  </si>
  <si>
    <t>Artocarpus heterophyllus</t>
  </si>
  <si>
    <t>Azadirachta indica</t>
  </si>
  <si>
    <t>Bambusa sp.</t>
  </si>
  <si>
    <t>Guava</t>
  </si>
  <si>
    <t>Psidium guajava</t>
  </si>
  <si>
    <t>Borassus flabellifer</t>
  </si>
  <si>
    <t>Cassia fistula</t>
  </si>
  <si>
    <t>Coromandel Ailanto</t>
  </si>
  <si>
    <t>Dalbergia sissoo</t>
  </si>
  <si>
    <t>Bamboo</t>
  </si>
  <si>
    <t>Delonix regia</t>
  </si>
  <si>
    <t>Ficus religiosa</t>
  </si>
  <si>
    <t>Manilkara zapota</t>
  </si>
  <si>
    <t>Morus alba</t>
  </si>
  <si>
    <t>Neolamarckia cadamba</t>
  </si>
  <si>
    <t>guava</t>
  </si>
  <si>
    <t>Syzygium cumini</t>
  </si>
  <si>
    <t>Syzygium genus</t>
  </si>
  <si>
    <t>mango</t>
  </si>
  <si>
    <t>Tectona grandis</t>
  </si>
  <si>
    <t>Trapa natans</t>
  </si>
  <si>
    <t xml:space="preserve">Guava </t>
  </si>
  <si>
    <t>Jamun</t>
  </si>
  <si>
    <t>Sagwan/Teek</t>
  </si>
  <si>
    <t>Neem</t>
  </si>
  <si>
    <t xml:space="preserve">gulmohar </t>
  </si>
  <si>
    <t xml:space="preserve">Mango </t>
  </si>
  <si>
    <t>Sapodilla</t>
  </si>
  <si>
    <t>mulberry</t>
  </si>
  <si>
    <t>Mulberry</t>
  </si>
  <si>
    <t>Kathal</t>
  </si>
  <si>
    <t>waterberries</t>
  </si>
  <si>
    <t>Taad</t>
  </si>
  <si>
    <t>Sisam</t>
  </si>
  <si>
    <t>jamun</t>
  </si>
  <si>
    <t>Kadam</t>
  </si>
  <si>
    <t xml:space="preserve">Amaltash </t>
  </si>
  <si>
    <t>water caltrop</t>
  </si>
  <si>
    <t>Sisham</t>
  </si>
  <si>
    <t xml:space="preserve">mango </t>
  </si>
  <si>
    <t xml:space="preserve">Jamun </t>
  </si>
  <si>
    <t>Dead neem</t>
  </si>
  <si>
    <t>Dead Sisam</t>
  </si>
  <si>
    <t>Pipal</t>
  </si>
  <si>
    <t>pipal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</si>
</sst>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49" xfId="0" applyFont="1" applyNumberFormat="1"/>
    <xf borderId="0" fillId="0" fontId="3" numFmtId="0" xfId="0" applyFont="1"/>
    <xf borderId="0" fillId="0" fontId="1" numFmtId="0" xfId="0" applyAlignment="1" applyFont="1">
      <alignment shrinkToFit="0" vertical="center" wrapText="0"/>
    </xf>
    <xf borderId="0" fillId="2" fontId="1" numFmtId="0" xfId="0" applyAlignment="1" applyFill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horizontal="right" shrinkToFit="0" vertical="center" wrapText="0"/>
    </xf>
    <xf borderId="1" fillId="0" fontId="1" numFmtId="164" xfId="0" applyAlignment="1" applyBorder="1" applyFont="1" applyNumberFormat="1">
      <alignment shrinkToFit="0" vertical="center" wrapText="0"/>
    </xf>
    <xf borderId="0" fillId="2" fontId="1" numFmtId="0" xfId="0" applyFill="1" applyFont="1"/>
    <xf borderId="0" fillId="0" fontId="3" numFmtId="164" xfId="0" applyFont="1" applyNumberFormat="1"/>
    <xf borderId="0" fillId="0" fontId="3" numFmtId="49" xfId="0" applyAlignment="1" applyFont="1" applyNumberFormat="1">
      <alignment shrinkToFit="0" wrapText="1"/>
    </xf>
    <xf borderId="0" fillId="0" fontId="3" numFmtId="0" xfId="0" applyAlignment="1" applyFont="1">
      <alignment shrinkToFit="0" wrapText="1"/>
    </xf>
    <xf borderId="0" fillId="0" fontId="1" numFmtId="164" xfId="0" applyFont="1" applyNumberFormat="1"/>
    <xf borderId="0" fillId="0" fontId="1" numFmtId="0" xfId="0" applyFont="1"/>
    <xf borderId="0" fillId="0" fontId="1" numFmtId="164" xfId="0" applyFont="1" applyNumberFormat="1"/>
    <xf borderId="0" fillId="0" fontId="3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5" pivot="0" name="Tree data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2" pivot="0" name="Tree data-style 2">
      <tableStyleElement dxfId="2" type="firstRowStripe"/>
      <tableStyleElement dxfId="3" type="secondRowStripe"/>
    </tableStyle>
    <tableStyle count="2" pivot="0" name="Tree data-style 3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229" sheet="Tree data"/>
  </cacheSource>
  <cacheFields>
    <cacheField name="Block and pathway" numFmtId="0">
      <sharedItems>
        <s v="Outer road"/>
        <s v="BW Block D-Mess"/>
        <s v="BW Block C-D"/>
        <s v="BW Block B-C"/>
        <s v="Mess front"/>
        <s v="BW Block A-B"/>
        <s v="BW Block F - E"/>
        <s v="BW Block H - G"/>
        <s v="BW Block E-Mess"/>
        <s v="BW Hall office - Block H"/>
      </sharedItems>
    </cacheField>
    <cacheField name="General name" numFmtId="0">
      <sharedItems>
        <s v="False Ashoka"/>
        <s v="Mango"/>
        <s v="Guava"/>
        <s v="Coromandel Ailanto"/>
        <s v="Bamboo"/>
        <s v="Guava "/>
        <s v="Jamun"/>
        <s v="Sagwan/Teek"/>
        <s v="Neem"/>
        <s v="gulmohar "/>
        <s v="Mango "/>
        <s v="Sapodilla"/>
        <s v="mulberry"/>
        <s v="Kathal"/>
        <s v="waterberries"/>
        <s v="Taad"/>
        <s v="Sisam"/>
        <s v="Kadam"/>
        <s v="Amaltash "/>
        <s v="water caltrop"/>
        <s v="Sisham"/>
        <s v="Jamun "/>
        <s v="Dead neem"/>
        <s v="Dead Sisam"/>
        <s v="Pipal"/>
      </sharedItems>
    </cacheField>
    <cacheField name="Scientific name" numFmtId="0">
      <sharedItems>
        <s v="Polyalthia longifolia"/>
        <s v="Mangifera indica"/>
        <s v="Psidium guajava"/>
        <s v="Ailanthus excelsa"/>
        <s v="Bambusa sp."/>
        <s v="Syzygium cumini"/>
        <s v="Tectona grandis"/>
        <s v="Azadirachta indica"/>
        <s v="Delonix regia"/>
        <s v="Manilkara zapota"/>
        <s v="Morus alba"/>
        <s v="Artocarpus heterophyllus"/>
        <s v="Syzygium genus"/>
        <s v="Borassus flabellifer"/>
        <s v="Dalbergia sissoo"/>
        <s v="Neolamarckia cadamba"/>
        <s v="Cassia fistula"/>
        <s v="Trapa natans"/>
        <s v="Ficus religiosa"/>
      </sharedItems>
    </cacheField>
    <cacheField name="Trunks" numFmtId="0">
      <sharedItems containsSemiMixedTypes="0" containsString="0" containsNumber="1" containsInteger="1">
        <n v="1.0"/>
        <n v="3.0"/>
        <n v="4.0"/>
        <n v="2.0"/>
        <n v="37.0"/>
        <n v="10.0"/>
        <n v="5.0"/>
        <n v="30.0"/>
        <n v="6.0"/>
      </sharedItems>
    </cacheField>
    <cacheField name="Circumference (in cm)" numFmtId="0">
      <sharedItems containsSemiMixedTypes="0" containsString="0" containsNumber="1" containsInteger="1">
        <n v="8.0"/>
        <n v="10.0"/>
        <n v="12.0"/>
        <n v="14.0"/>
        <n v="15.0"/>
        <n v="16.0"/>
        <n v="18.0"/>
        <n v="19.0"/>
        <n v="22.0"/>
        <n v="23.0"/>
        <n v="24.0"/>
        <n v="25.0"/>
        <n v="26.0"/>
        <n v="28.0"/>
        <n v="29.0"/>
        <n v="30.0"/>
        <n v="31.0"/>
        <n v="32.0"/>
        <n v="34.0"/>
        <n v="35.0"/>
        <n v="36.0"/>
        <n v="37.0"/>
        <n v="38.0"/>
        <n v="40.0"/>
        <n v="42.0"/>
        <n v="43.0"/>
        <n v="44.0"/>
        <n v="45.0"/>
        <n v="46.0"/>
        <n v="47.0"/>
        <n v="48.0"/>
        <n v="50.0"/>
        <n v="53.0"/>
        <n v="54.0"/>
        <n v="55.0"/>
        <n v="60.0"/>
        <n v="62.0"/>
        <n v="65.0"/>
        <n v="67.0"/>
        <n v="70.0"/>
        <n v="80.0"/>
        <n v="85.0"/>
        <n v="86.0"/>
        <n v="110.0"/>
        <n v="150.0"/>
      </sharedItems>
    </cacheField>
    <cacheField name="DBH (in cm)" numFmtId="164">
      <sharedItems containsSemiMixedTypes="0" containsString="0" containsNumber="1">
        <n v="2.5464790894703255"/>
        <n v="3.183098861837907"/>
        <n v="3.819718634205488"/>
        <n v="4.45633840657307"/>
        <n v="4.7746482927568605"/>
        <n v="5.092958178940651"/>
        <n v="5.729577951308232"/>
        <n v="6.047887837492023"/>
        <n v="7.002817496043395"/>
        <n v="7.321127382227186"/>
        <n v="7.639437268410976"/>
        <n v="7.957747154594767"/>
        <n v="8.276057040778557"/>
        <n v="8.91267681314614"/>
        <n v="9.23098669932993"/>
        <n v="9.549296585513721"/>
        <n v="9.867606471697512"/>
        <n v="10.185916357881302"/>
        <n v="10.822536130248883"/>
        <n v="11.140846016432674"/>
        <n v="11.459155902616464"/>
        <n v="11.777465788800255"/>
        <n v="12.095775674984045"/>
        <n v="12.732395447351628"/>
        <n v="13.36901521971921"/>
        <n v="13.687325105903"/>
        <n v="14.00563499208679"/>
        <n v="14.32394487827058"/>
        <n v="14.642254764454371"/>
        <n v="14.960564650638162"/>
        <n v="15.278874536821952"/>
        <n v="15.915494309189533"/>
        <n v="16.870423967740905"/>
        <n v="17.188733853924695"/>
        <n v="17.507043740108486"/>
        <n v="19.098593171027442"/>
        <n v="19.735212943395023"/>
        <n v="20.690142601946395"/>
        <n v="21.326762374313976"/>
        <n v="22.281692032865347"/>
        <n v="25.464790894703256"/>
        <n v="27.05634032562221"/>
        <n v="27.374650211806"/>
        <n v="35.01408748021697"/>
        <n v="47.7464829275686"/>
      </sharedItems>
    </cacheField>
    <cacheField name="Adjusted DBH  (in cm)" numFmtId="164">
      <sharedItems containsSemiMixedTypes="0" containsString="0" containsNumber="1">
        <n v="2.5464790894703255"/>
        <n v="3.35135495417882"/>
        <n v="3.6012652646284247"/>
        <n v="3.785363814254702"/>
        <n v="3.183098861837907"/>
        <n v="5.66043916612468"/>
        <n v="4.759843003555968"/>
        <n v="4.542436577105643"/>
        <n v="5.02703243126823"/>
        <n v="3.819718634205488"/>
        <n v="5.711811604267162"/>
        <n v="4.45633840657307"/>
        <n v="5.864871169812935"/>
        <n v="6.3022142130997425"/>
        <n v="4.7746482927568605"/>
        <n v="6.283790539085288"/>
        <n v="6.056582102807523"/>
        <n v="5.092958178940651"/>
        <n v="6.813654865658465"/>
        <n v="5.729577951308232"/>
        <n v="7.540548646902345"/>
        <n v="8.102846845413955"/>
        <n v="8.967274101920411"/>
        <n v="6.047887837492023"/>
        <n v="7.192191247083934"/>
        <n v="7.002817496043395"/>
        <n v="8.706336772785814"/>
        <n v="7.321127382227186"/>
        <n v="10.05406486253646"/>
        <n v="9.084873154211285"/>
        <n v="7.639437268410976"/>
        <n v="10.472984231808814"/>
        <n v="9.463409535636755"/>
        <n v="7.957747154594767"/>
        <n v="9.841945917062226"/>
        <n v="8.276057040778557"/>
        <n v="8.91267681314614"/>
        <n v="10.599018679913165"/>
        <n v="11.72974233962587"/>
        <n v="9.23098669932993"/>
        <n v="13.05458658427804"/>
        <n v="9.549296585513721"/>
        <n v="12.567581078170576"/>
        <n v="11.356091442764107"/>
        <n v="9.867606471697512"/>
        <n v="12.986500447442928"/>
        <n v="10.185916357881302"/>
        <n v="12.113164205615046"/>
        <n v="13.40541981671528"/>
        <n v="14.405061058513699"/>
        <n v="10.822536130248883"/>
        <n v="12.870236968465987"/>
        <n v="15.305377374670805"/>
        <n v="16.18346621209029"/>
        <n v="13.248773349891458"/>
        <n v="14.662177924532338"/>
        <n v="15.755535532749358"/>
        <n v="11.140846016432674"/>
        <n v="11.459155902616464"/>
        <n v="11.777465788800255"/>
        <n v="15.918936032349395"/>
        <n v="12.095775674984045"/>
        <n v="15.141455257018809"/>
        <n v="12.732395447351628"/>
        <n v="16.7567747708941"/>
        <n v="13.36901521971921"/>
        <n v="18.90664263929923"/>
        <n v="13.687325105903"/>
        <n v="14.00563499208679"/>
        <n v="16.65560078272069"/>
        <n v="14.32394487827058"/>
        <n v="17.03413716414616"/>
        <n v="20.25711711353489"/>
        <n v="20.70727527161344"/>
        <n v="14.642254764454371"/>
        <n v="17.7912099269971"/>
        <n v="20.10812972507292"/>
        <n v="15.278874536821952"/>
        <n v="21.60759158777055"/>
        <n v="18.92681907127351"/>
        <n v="15.915494309189533"/>
        <n v="16.870423967740905"/>
        <n v="17.188733853924695"/>
        <n v="17.507043740108486"/>
        <n v="27.400004200312363"/>
        <n v="24.75869869432042"/>
        <n v="27.009489484713185"/>
        <n v="22.712182885528215"/>
        <n v="19.098593171027442"/>
        <n v="23.46925564837915"/>
        <n v="25.973000894885857"/>
        <n v="27.229759002702917"/>
        <n v="20.690142601946395"/>
        <n v="30.160596591263058"/>
        <n v="22.281692032865347"/>
        <n v="30.282910514037617"/>
        <n v="25.464790894703256"/>
        <n v="27.05634032562221"/>
        <n v="32.554128802590434"/>
        <n v="35.01408748021697"/>
        <n v="54.800008400624726"/>
        <n v="74.72728418267009"/>
      </sharedItems>
    </cacheField>
    <cacheField name="Hight (in M)" numFmtId="0">
      <sharedItems containsSemiMixedTypes="0" containsString="0" containsNumber="1">
        <n v="8.0"/>
        <n v="9.0"/>
        <n v="12.0"/>
        <n v="11.0"/>
        <n v="6.0"/>
        <n v="16.0"/>
        <n v="10.0"/>
        <n v="13.0"/>
        <n v="5.5"/>
        <n v="14.0"/>
        <n v="7.0"/>
        <n v="17.0"/>
        <n v="5.0"/>
        <n v="15.0"/>
        <n v="4.0"/>
      </sharedItems>
    </cacheField>
    <cacheField name="Density" numFmtId="0">
      <sharedItems containsSemiMixedTypes="0" containsString="0" containsNumber="1" containsInteger="1">
        <n v="520.0"/>
        <n v="670.0"/>
        <n v="540.0"/>
        <n v="600.0"/>
        <n v="560.0"/>
        <n v="550.0"/>
        <n v="690.0"/>
        <n v="400.0"/>
        <n v="820.0"/>
        <n v="790.0"/>
        <n v="630.0"/>
        <n v="700.0"/>
        <n v="570.0"/>
        <n v="680.0"/>
        <n v="440.0"/>
      </sharedItems>
    </cacheField>
    <cacheField name="AGB  Stem" numFmtId="164">
      <sharedItems containsSemiMixedTypes="0" containsString="0" containsNumber="1">
        <n v="0.17727408727897698"/>
        <n v="0.19887038748650915"/>
        <n v="0.2633360560246678"/>
        <n v="0.24189600251840915"/>
        <n v="0.43534647896711864"/>
        <n v="0.6093456445517226"/>
        <n v="0.3011432135851168"/>
        <n v="0.6198337731971272"/>
        <n v="0.3739357922862671"/>
        <n v="1.1502626995693295"/>
        <n v="0.34072011693279625"/>
        <n v="0.4401558597654109"/>
        <n v="0.7311576935550205"/>
        <n v="1.1434199843678898"/>
        <n v="0.39486917959909956"/>
        <n v="0.5239229313122125"/>
        <n v="0.5810860700492505"/>
        <n v="0.7486200715839574"/>
        <n v="0.6754302874121576"/>
        <n v="0.4388339890033218"/>
        <n v="1.2326147596323587"/>
        <n v="0.721172175813238"/>
        <n v="0.6571124592525123"/>
        <n v="1.1569655976678228"/>
        <n v="1.9776781607992904"/>
        <n v="0.8251391141440407"/>
        <n v="1.650654701459693"/>
        <n v="0.8715692432649648"/>
        <n v="1.4222657720544594"/>
        <n v="1.3618124556007003"/>
        <n v="0.7244868900765281"/>
        <n v="1.7899070653350342"/>
        <n v="0.6681851531427987"/>
        <n v="1.7983459454796258"/>
        <n v="1.6519298645376572"/>
        <n v="1.3463829085463634"/>
        <n v="1.5585309361088373"/>
        <n v="1.3543949437097986"/>
        <n v="1.3864315027153629"/>
        <n v="0.8631882766759579"/>
        <n v="3.9367529033575184"/>
        <n v="3.295013970611671"/>
        <n v="1.2642649027195847"/>
        <n v="2.2045750713004506"/>
        <n v="1.8358056569051142"/>
        <n v="0.9592694915891066"/>
        <n v="1.136685227648908"/>
        <n v="2.205097576276611"/>
        <n v="1.897089171975203"/>
        <n v="1.5132903402065199"/>
        <n v="1.530614476223871"/>
        <n v="2.404980031800535"/>
        <n v="1.7317711965327929"/>
        <n v="1.9005958329186465"/>
        <n v="2.069052012133295"/>
        <n v="3.2166609903102494"/>
        <n v="3.1384187965937778"/>
        <n v="3.8431398487727826"/>
        <n v="2.430965703516676"/>
        <n v="1.8817855093494966"/>
        <n v="1.5135122738968225"/>
        <n v="2.2201464927933725"/>
        <n v="1.5986767862785078"/>
        <n v="1.7934345443988498"/>
        <n v="2.906864036296114"/>
        <n v="3.398736138098814"/>
        <n v="4.591021160880203"/>
        <n v="2.632603078973454"/>
        <n v="2.434767910125995"/>
        <n v="2.3203385474722213"/>
        <n v="4.462981628661268"/>
        <n v="2.481671061906384"/>
        <n v="2.2000155543965896"/>
        <n v="2.8420679898795225"/>
        <n v="1.9850271015852394"/>
        <n v="3.0233497578602737"/>
        <n v="5.614760506652988"/>
        <n v="6.418494572068015"/>
        <n v="3.037603953922117"/>
        <n v="2.293986947577191"/>
        <n v="3.5657664233669584"/>
        <n v="5.19237824611111"/>
        <n v="2.6591528388815266"/>
        <n v="1.9147952301731912"/>
        <n v="2.788276044598734"/>
        <n v="2.044871775538829"/>
        <n v="3.530784538455773"/>
        <n v="3.7767246438749718"/>
        <n v="2.790291100961289"/>
        <n v="4.044489728895716"/>
        <n v="2.1898506438610594"/>
        <n v="5.516320807963625"/>
        <n v="3.4592074189984756"/>
        <n v="7.192342287272544"/>
        <n v="4.439345083108639"/>
        <n v="3.192550135000556"/>
        <n v="3.75791694323709"/>
        <n v="2.9089647948930843"/>
        <n v="2.339668309448508"/>
        <n v="3.1271644208958254"/>
        <n v="2.5151653628980295"/>
        <n v="4.006309661078726"/>
        <n v="4.306820437707315"/>
        <n v="6.808698790656747"/>
        <n v="4.772514358514442"/>
        <n v="6.098887477641565"/>
        <n v="6.137104356708279"/>
        <n v="5.220013628477148"/>
        <n v="3.0286922892724117"/>
        <n v="5.459648503253159"/>
        <n v="3.621177343803314"/>
        <n v="2.6537888258372058"/>
        <n v="4.175359370637782"/>
        <n v="6.874137905961818"/>
        <n v="5.943555450108159"/>
        <n v="3.93693186473981"/>
        <n v="6.8650658795823984"/>
        <n v="11.503453552070521"/>
        <n v="4.915405722898374"/>
        <n v="5.66793762387741"/>
        <n v="5.15781291156863"/>
        <n v="3.7140232847057226"/>
        <n v="2.9871735110150093"/>
        <n v="4.437368727298134"/>
        <n v="4.076091109730415"/>
        <n v="12.463861788876454"/>
        <n v="6.690220121870814"/>
        <n v="3.923009354704221"/>
        <n v="3.2671949206597297"/>
        <n v="6.554798942197487"/>
        <n v="7.988990585516241"/>
        <n v="9.19310060454358"/>
        <n v="5.4580757847748345"/>
        <n v="6.049514155434143"/>
        <n v="3.7466312124591976"/>
        <n v="4.557215001484629"/>
        <n v="3.339766352115583"/>
        <n v="4.807583126198126"/>
        <n v="3.5232492552237344"/>
        <n v="11.409516451297868"/>
        <n v="3.7115146917397346"/>
        <n v="4.614613759735999"/>
        <n v="6.854888981341564"/>
        <n v="11.264187276955255"/>
        <n v="5.550047260195564"/>
        <n v="6.454494072180909"/>
        <n v="7.850924082124823"/>
        <n v="3.7656445610165625"/>
        <n v="7.083368601139488"/>
        <n v="4.1023688561135145"/>
        <n v="5.59780982309173"/>
        <n v="6.589122641675215"/>
        <n v="7.153548353681668"/>
        <n v="8.834027284723616"/>
        <n v="13.184587988938167"/>
        <n v="6.446551583524575"/>
        <n v="8.725559216785912"/>
        <n v="4.724371366902564"/>
        <n v="8.157351270490945"/>
        <n v="9.126042132269514"/>
        <n v="10.294397521022722"/>
        <n v="11.066573826818564"/>
        <n v="6.8042753421439715"/>
        <n v="12.47217203210222"/>
        <n v="8.914347623818392"/>
        <n v="9.535284860420248"/>
        <n v="5.791743130309758"/>
        <n v="7.0447869516542685"/>
        <n v="11.562836587665851"/>
        <n v="13.573321304754606"/>
        <n v="17.37015878637947"/>
        <n v="8.655851068434503"/>
        <n v="9.953277956315423"/>
        <n v="7.35360544538033"/>
        <n v="12.916144107306613"/>
        <n v="13.192561282404409"/>
        <n v="7.922431148636441"/>
        <n v="10.111175168797292"/>
        <n v="13.891171956990199"/>
        <n v="13.150068067945803"/>
        <n v="11.712572533937832"/>
        <n v="8.6533941424119"/>
        <n v="7.971223070181509"/>
        <n v="7.105589284173402"/>
        <n v="11.836930757819594"/>
        <n v="9.924554220059969"/>
        <n v="32.932163740385086"/>
        <n v="8.568926845956986"/>
        <n v="10.422814457734626"/>
        <n v="20.08182937334293"/>
        <n v="22.969489276821957"/>
        <n v="22.83223178658091"/>
        <n v="26.781499998170787"/>
        <n v="9.052423099509545"/>
        <n v="17.83866165664936"/>
        <n v="22.04924774861213"/>
        <n v="24.474713838308205"/>
        <n v="15.721194632835227"/>
        <n v="29.87988136633563"/>
        <n v="31.7625155556984"/>
        <n v="33.97496333863899"/>
        <n v="30.116872522881586"/>
        <n v="23.28310745026781"/>
        <n v="25.346767305447607"/>
        <n v="26.20806944109981"/>
        <n v="40.225088523479485"/>
        <n v="66.03010249350736"/>
        <n v="118.39837986981136"/>
        <n v="163.80877741581918"/>
      </sharedItems>
    </cacheField>
    <cacheField name="AGB Foliage Biomass" numFmtId="164">
      <sharedItems containsSemiMixedTypes="0" containsString="0" containsNumber="1">
        <n v="0.007090963491159079"/>
        <n v="0.007954815499460366"/>
        <n v="0.010533442240986712"/>
        <n v="0.009675840100736367"/>
        <n v="0.017413859158684746"/>
        <n v="0.024373825782068904"/>
        <n v="0.012045728543404672"/>
        <n v="0.024793350927885087"/>
        <n v="0.014957431691450685"/>
        <n v="0.04601050798277318"/>
        <n v="0.01362880467731185"/>
        <n v="0.017606234390616437"/>
        <n v="0.02924630774220082"/>
        <n v="0.045736799374715593"/>
        <n v="0.015794767183963984"/>
        <n v="0.020956917252488497"/>
        <n v="0.02324344280197002"/>
        <n v="0.029944802863358294"/>
        <n v="0.027017211496486306"/>
        <n v="0.01755335956013287"/>
        <n v="0.04930459038529435"/>
        <n v="0.028846887032529522"/>
        <n v="0.026284498370100492"/>
        <n v="0.04627862390671291"/>
        <n v="0.07910712643197161"/>
        <n v="0.03300556456576163"/>
        <n v="0.06602618805838772"/>
        <n v="0.03486276973059859"/>
        <n v="0.05689063088217838"/>
        <n v="0.05447249822402801"/>
        <n v="0.028979475603061126"/>
        <n v="0.07159628261340137"/>
        <n v="0.02672740612571195"/>
        <n v="0.07193383781918504"/>
        <n v="0.0660771945815063"/>
        <n v="0.05385531634185454"/>
        <n v="0.06234123744435349"/>
        <n v="0.05417579774839194"/>
        <n v="0.055457260108614514"/>
        <n v="0.03452753106703831"/>
        <n v="0.15747011613430073"/>
        <n v="0.13180055882446684"/>
        <n v="0.05057059610878339"/>
        <n v="0.08818300285201802"/>
        <n v="0.07343222627620458"/>
        <n v="0.03837077966356427"/>
        <n v="0.04546740910595631"/>
        <n v="0.08820390305106444"/>
        <n v="0.07588356687900812"/>
        <n v="0.060531613608260794"/>
        <n v="0.06122457904895484"/>
        <n v="0.09619920127202142"/>
        <n v="0.06927084786131171"/>
        <n v="0.07602383331674586"/>
        <n v="0.0827620804853318"/>
        <n v="0.12866643961240998"/>
        <n v="0.1255367518637511"/>
        <n v="0.15372559395091132"/>
        <n v="0.09723862814066704"/>
        <n v="0.07527142037397987"/>
        <n v="0.060540490955872904"/>
        <n v="0.08880585971173491"/>
        <n v="0.06394707145114031"/>
        <n v="0.071737381775954"/>
        <n v="0.11627456145184456"/>
        <n v="0.13594944552395258"/>
        <n v="0.18364084643520812"/>
        <n v="0.10530412315893817"/>
        <n v="0.0973907164050398"/>
        <n v="0.09281354189888885"/>
        <n v="0.17851926514645072"/>
        <n v="0.09926684247625536"/>
        <n v="0.08800062217586359"/>
        <n v="0.1136827195951809"/>
        <n v="0.07940108406340958"/>
        <n v="0.12093399031441095"/>
        <n v="0.22459042026611953"/>
        <n v="0.2567397828827206"/>
        <n v="0.12150415815688469"/>
        <n v="0.09175947790308764"/>
        <n v="0.14263065693467833"/>
        <n v="0.2076951298444444"/>
        <n v="0.10636611355526107"/>
        <n v="0.07659180920692765"/>
        <n v="0.11153104178394935"/>
        <n v="0.08179487102155315"/>
        <n v="0.14123138153823092"/>
        <n v="0.15106898575499889"/>
        <n v="0.11161164403845156"/>
        <n v="0.16177958915582863"/>
        <n v="0.08759402575444238"/>
        <n v="0.22065283231854502"/>
        <n v="0.13836829675993903"/>
        <n v="0.2876936914909018"/>
        <n v="0.17757380332434558"/>
        <n v="0.12770200540002224"/>
        <n v="0.1503166777294836"/>
        <n v="0.11635859179572337"/>
        <n v="0.09358673237794031"/>
        <n v="0.12508657683583302"/>
        <n v="0.10060661451592118"/>
        <n v="0.16025238644314904"/>
        <n v="0.1722728175082926"/>
        <n v="0.2723479516262699"/>
        <n v="0.1909005743405777"/>
        <n v="0.2439554991056626"/>
        <n v="0.24548417426833116"/>
        <n v="0.20880054513908594"/>
        <n v="0.12114769157089647"/>
        <n v="0.21838594013012635"/>
        <n v="0.14484709375213256"/>
        <n v="0.10615155303348824"/>
        <n v="0.1670143748255113"/>
        <n v="0.2749655162384727"/>
        <n v="0.23774221800432635"/>
        <n v="0.1574772745895924"/>
        <n v="0.2746026351832959"/>
        <n v="0.46013814208282083"/>
        <n v="0.19661622891593497"/>
        <n v="0.22671750495509643"/>
        <n v="0.2063125164627452"/>
        <n v="0.1485609313882289"/>
        <n v="0.11948694044060038"/>
        <n v="0.17749474909192536"/>
        <n v="0.1630436443892166"/>
        <n v="0.49855447155505817"/>
        <n v="0.2676088048748326"/>
        <n v="0.15692037418816884"/>
        <n v="0.1306877968263892"/>
        <n v="0.2621919576878995"/>
        <n v="0.31955962342064964"/>
        <n v="0.3677240241817432"/>
        <n v="0.21832303139099338"/>
        <n v="0.24198056621736574"/>
        <n v="0.1498652484983679"/>
        <n v="0.18228860005938516"/>
        <n v="0.1335906540846233"/>
        <n v="0.19230332504792505"/>
        <n v="0.14092997020894937"/>
        <n v="0.45638065805191474"/>
        <n v="0.1484605876695894"/>
        <n v="0.18458455038943997"/>
        <n v="0.27419555925366257"/>
        <n v="0.4505674910782102"/>
        <n v="0.22200189040782256"/>
        <n v="0.2581797628872364"/>
        <n v="0.3140369632849929"/>
        <n v="0.1506257824406625"/>
        <n v="0.2833347440455795"/>
        <n v="0.1640947542445406"/>
        <n v="0.22391239292366918"/>
        <n v="0.2635649056670086"/>
        <n v="0.28614193414726674"/>
        <n v="0.35336109138894467"/>
        <n v="0.5273835195575267"/>
        <n v="0.257862063340983"/>
        <n v="0.3490223686714365"/>
        <n v="0.18897485467610256"/>
        <n v="0.3262940508196378"/>
        <n v="0.36504168529078057"/>
        <n v="0.41177590084090887"/>
        <n v="0.44266295307274256"/>
        <n v="0.27217101368575886"/>
        <n v="0.4988868812840888"/>
        <n v="0.35657390495273567"/>
        <n v="0.38141139441680993"/>
        <n v="0.23166972521239032"/>
        <n v="0.2817914780661707"/>
        <n v="0.462513463506634"/>
        <n v="0.5429328521901843"/>
        <n v="0.6948063514551788"/>
        <n v="0.3462340427373801"/>
        <n v="0.39813111825261693"/>
        <n v="0.2941442178152132"/>
        <n v="0.5166457642922645"/>
        <n v="0.5277024512961763"/>
        <n v="0.31689724594545765"/>
        <n v="0.4044470067518917"/>
        <n v="0.555646878279608"/>
        <n v="0.5260027227178321"/>
        <n v="0.4685029013575133"/>
        <n v="0.34613576569647597"/>
        <n v="0.31884892280726035"/>
        <n v="0.2842235713669361"/>
        <n v="0.47347723031278377"/>
        <n v="0.3969821688023988"/>
        <n v="1.3172865496154034"/>
        <n v="0.3427570738382794"/>
        <n v="0.41691257830938505"/>
        <n v="0.8032731749337172"/>
        <n v="0.9187795710728783"/>
        <n v="0.9132892714632364"/>
        <n v="1.0712599999268315"/>
        <n v="0.3620969239803818"/>
        <n v="0.7135464662659744"/>
        <n v="0.8819699099444853"/>
        <n v="0.9789885535323282"/>
        <n v="0.6288477853134091"/>
        <n v="1.1951952546534252"/>
        <n v="1.270500622227936"/>
        <n v="1.3589985335455597"/>
        <n v="1.2046749009152635"/>
        <n v="0.9313242980107124"/>
        <n v="1.0138706922179044"/>
        <n v="1.0483227776439923"/>
        <n v="1.6090035409391794"/>
        <n v="2.6412040997402944"/>
        <n v="4.735935194792455"/>
        <n v="6.552351096632767"/>
      </sharedItems>
    </cacheField>
    <cacheField name="BGB (in Kg)" numFmtId="164">
      <sharedItems containsSemiMixedTypes="0" containsString="0" containsNumber="1">
        <n v="0.03687301015402721"/>
        <n v="0.041365040597193904"/>
        <n v="0.05477389965313091"/>
        <n v="0.0503143685238291"/>
        <n v="0.09055206762516069"/>
        <n v="0.12674389406675832"/>
        <n v="0.0626377884257043"/>
        <n v="0.12892542482500244"/>
        <n v="0.07777864479554357"/>
        <n v="0.23925464151042056"/>
        <n v="0.07086978432202162"/>
        <n v="0.09155241883120546"/>
        <n v="0.15208080025944426"/>
        <n v="0.23783135674852107"/>
        <n v="0.08213278935661272"/>
        <n v="0.1089759697129402"/>
        <n v="0.1208659025702441"/>
        <n v="0.15571297488946315"/>
        <n v="0.14048949978172878"/>
        <n v="0.09127746971269095"/>
        <n v="0.25638387000353063"/>
        <n v="0.15000381256915352"/>
        <n v="0.13667939152452255"/>
        <n v="0.24064884431490718"/>
        <n v="0.4113570574462524"/>
        <n v="0.17162893574196048"/>
        <n v="0.34333617790361615"/>
        <n v="0.18128640259911266"/>
        <n v="0.29583128058732755"/>
        <n v="0.2832569907649457"/>
        <n v="0.15069327313591785"/>
        <n v="0.3723006695896871"/>
        <n v="0.1389825118537021"/>
        <n v="0.37405595665976216"/>
        <n v="0.3436014118238327"/>
        <n v="0.2800476449776436"/>
        <n v="0.32417443471063817"/>
        <n v="0.2817141482916381"/>
        <n v="0.2883777525647955"/>
        <n v="0.17954316154859926"/>
        <n v="0.8188446038983639"/>
        <n v="0.6853629058872276"/>
        <n v="0.2629670997656736"/>
        <n v="0.4585516148304938"/>
        <n v="0.3818475766362638"/>
        <n v="0.1995280542505342"/>
        <n v="0.23643052735097286"/>
        <n v="0.4586602958655352"/>
        <n v="0.39459454777084224"/>
        <n v="0.31476439076295615"/>
        <n v="0.31836781105456513"/>
        <n v="0.5002358466145113"/>
        <n v="0.36020840887882094"/>
        <n v="0.3953239332470785"/>
        <n v="0.4303628185237254"/>
        <n v="0.669065485984532"/>
        <n v="0.6527911096915058"/>
        <n v="0.7993730885447388"/>
        <n v="0.5056408663314687"/>
        <n v="0.3914113859446953"/>
        <n v="0.3148105529705391"/>
        <n v="0.4617904705010215"/>
        <n v="0.33252477154592963"/>
        <n v="0.37303438523496074"/>
        <n v="0.6046277195495917"/>
        <n v="0.7069371167245534"/>
        <n v="0.9549324014630822"/>
        <n v="0.5475814404264784"/>
        <n v="0.506431725306207"/>
        <n v="0.48263041787422206"/>
        <n v="0.9283001787615439"/>
        <n v="0.5161875808765279"/>
        <n v="0.4576032353144907"/>
        <n v="0.5911501418949408"/>
        <n v="0.4128856371297298"/>
        <n v="0.628856749634937"/>
        <n v="1.1678701853838216"/>
        <n v="1.3350468709901473"/>
        <n v="0.6318216224158004"/>
        <n v="0.4771492850960557"/>
        <n v="0.7416794160603274"/>
        <n v="1.080014675191111"/>
        <n v="0.5531037904873576"/>
        <n v="0.3982774078760238"/>
        <n v="0.5799614172765367"/>
        <n v="0.4253333293120764"/>
        <n v="0.7344031839988009"/>
        <n v="0.7855587259259942"/>
        <n v="0.5803805489999481"/>
        <n v="0.8412538636103088"/>
        <n v="0.45548893392310036"/>
        <n v="1.147394728056434"/>
        <n v="0.719515143151683"/>
        <n v="1.4960071957526893"/>
        <n v="0.923383777286597"/>
        <n v="0.6640504280801157"/>
        <n v="0.7816467241933148"/>
        <n v="0.6050646773377616"/>
        <n v="0.48665100836528963"/>
        <n v="0.6504501995463317"/>
        <n v="0.5231543954827902"/>
        <n v="0.8333124095043751"/>
        <n v="0.8958186510431215"/>
        <n v="1.4162093484566034"/>
        <n v="0.9926829865710041"/>
        <n v="1.2685685953494454"/>
        <n v="1.2765177061953221"/>
        <n v="1.0857628347232469"/>
        <n v="0.6299679961686617"/>
        <n v="1.135606888676657"/>
        <n v="0.7532048875110894"/>
        <n v="0.5519880757741389"/>
        <n v="0.8684747490926586"/>
        <n v="1.429820684440058"/>
        <n v="1.236259533622497"/>
        <n v="0.8188818278658805"/>
        <n v="1.427933702953139"/>
        <n v="2.3927183388306683"/>
        <n v="1.0224043903628617"/>
        <n v="1.1789310257665013"/>
        <n v="1.072825085606275"/>
        <n v="0.7725168432187903"/>
        <n v="0.6213320902911219"/>
        <n v="0.922972695278012"/>
        <n v="0.8478269508239263"/>
        <n v="2.5924832520863026"/>
        <n v="1.3915657853491294"/>
        <n v="0.815985945778478"/>
        <n v="0.6795765434972239"/>
        <n v="1.3633981799770774"/>
        <n v="1.6617100417873782"/>
        <n v="1.912164925745065"/>
        <n v="1.1352797632331657"/>
        <n v="1.2582989443303019"/>
        <n v="0.7792992921915132"/>
        <n v="0.9479007203088028"/>
        <n v="0.6946714012400412"/>
        <n v="0.9999772902492103"/>
        <n v="0.7328358450865369"/>
        <n v="2.3731794218699567"/>
        <n v="0.7719950558818649"/>
        <n v="0.9598396620250877"/>
        <n v="1.4258169081190455"/>
        <n v="2.3429509536066933"/>
        <n v="1.1544098301206773"/>
        <n v="1.3425347670136292"/>
        <n v="1.6329922090819633"/>
        <n v="0.7832540686914451"/>
        <n v="1.4733406690370137"/>
        <n v="0.8532927220716111"/>
        <n v="1.1643444432030798"/>
        <n v="1.3705375094684449"/>
        <n v="1.487938057565787"/>
        <n v="1.8374776752225122"/>
        <n v="2.742394301699139"/>
        <n v="1.3408827293731118"/>
        <n v="1.8149163170914697"/>
        <n v="0.9826692443157333"/>
        <n v="1.6967290642621167"/>
        <n v="1.898216763512059"/>
        <n v="2.141234684372726"/>
        <n v="2.3018473559782615"/>
        <n v="1.4152892711659462"/>
        <n v="2.5942117826772617"/>
        <n v="1.8541843057542255"/>
        <n v="1.9833392509674117"/>
        <n v="1.2046825711044298"/>
        <n v="1.465315685944088"/>
        <n v="2.405070010234497"/>
        <n v="2.823250831388958"/>
        <n v="3.6129930275669295"/>
        <n v="1.8004170222343767"/>
        <n v="2.070281814913608"/>
        <n v="1.5295499326391087"/>
        <n v="2.6865579743197756"/>
        <n v="2.7440527467401172"/>
        <n v="1.6478656789163797"/>
        <n v="2.103124435109837"/>
        <n v="2.8893637670539616"/>
        <n v="2.7352141581327274"/>
        <n v="2.4362150870590695"/>
        <n v="1.7999059816216751"/>
        <n v="1.658014398597754"/>
        <n v="1.4779625711080677"/>
        <n v="2.462081597626476"/>
        <n v="2.064307277772474"/>
        <n v="6.849890058000098"/>
        <n v="1.7823367839590532"/>
        <n v="2.1679454072088022"/>
        <n v="4.17702050965533"/>
        <n v="4.777653769578968"/>
        <n v="4.749104211608829"/>
        <n v="5.570551999619524"/>
        <n v="1.8829040046979852"/>
        <n v="3.7104416245830674"/>
        <n v="4.5862435317113235"/>
        <n v="5.090740478368107"/>
        <n v="3.270008483629727"/>
        <n v="6.215015324197811"/>
        <n v="6.6066032355852675"/>
        <n v="7.066792374436911"/>
        <n v="6.26430948475937"/>
        <n v="4.842886349655704"/>
        <n v="5.2721275995331025"/>
        <n v="5.451278443748761"/>
        <n v="8.366818412883733"/>
        <n v="13.73426131864953"/>
        <n v="24.626863012920765"/>
        <n v="34.07222570249039"/>
      </sharedItems>
    </cacheField>
    <cacheField name="TB (in Kg)" numFmtId="164">
      <sharedItems containsSemiMixedTypes="0" containsString="0" containsNumber="1">
        <n v="0.2212380609241633"/>
        <n v="0.2481902435831634"/>
        <n v="0.32864339791878544"/>
        <n v="0.3018862111429746"/>
        <n v="0.5433124057509641"/>
        <n v="0.7604633644005498"/>
        <n v="0.3758267305542258"/>
        <n v="0.7735525489500147"/>
        <n v="0.4666718687732614"/>
        <n v="1.4355278490625234"/>
        <n v="0.42521870593212974"/>
        <n v="0.5493145129872328"/>
        <n v="0.9124848015566656"/>
        <n v="1.4269881404911264"/>
        <n v="0.4927967361396763"/>
        <n v="0.6538558182776412"/>
        <n v="0.7251954154214646"/>
        <n v="0.9342778493367788"/>
        <n v="0.8429369986903726"/>
        <n v="0.5476648182761457"/>
        <n v="1.5383032200211837"/>
        <n v="0.900022875414921"/>
        <n v="0.8200763491471353"/>
        <n v="1.4438930658894429"/>
        <n v="2.4681423446775144"/>
        <n v="1.0297736144517629"/>
        <n v="2.060017067421697"/>
        <n v="1.087718415594676"/>
        <n v="1.7749876835239653"/>
        <n v="1.699541944589674"/>
        <n v="0.9041596388155071"/>
        <n v="2.2338040175381226"/>
        <n v="0.8338950711222127"/>
        <n v="2.244335739958573"/>
        <n v="2.0616084709429963"/>
        <n v="1.6802858698658616"/>
        <n v="1.945046608263829"/>
        <n v="1.6902848897498286"/>
        <n v="1.7302665153887729"/>
        <n v="1.0772589692915955"/>
        <n v="4.913067623390183"/>
        <n v="4.112177435323366"/>
        <n v="1.5778025985940418"/>
        <n v="2.7513096889829622"/>
        <n v="2.2910854598175825"/>
        <n v="1.197168325503205"/>
        <n v="1.418583164105837"/>
        <n v="2.751961775193211"/>
        <n v="2.3675672866250532"/>
        <n v="1.8885863445777367"/>
        <n v="1.9102068663273908"/>
        <n v="3.0014150796870678"/>
        <n v="2.1612504532729258"/>
        <n v="2.3719435994824707"/>
        <n v="2.5821769111423523"/>
        <n v="4.014392915907191"/>
        <n v="3.9167466581490347"/>
        <n v="4.796238531268433"/>
        <n v="3.0338451979888115"/>
        <n v="2.348468315668172"/>
        <n v="1.8888633178232346"/>
        <n v="2.770742823006129"/>
        <n v="1.9951486292755778"/>
        <n v="2.2382063114097646"/>
        <n v="3.62776631729755"/>
        <n v="4.24162270034732"/>
        <n v="5.7295944087784925"/>
        <n v="3.2854886425588705"/>
        <n v="3.0385903518372412"/>
        <n v="2.8957825072453325"/>
        <n v="5.569801072569263"/>
        <n v="3.097125485259167"/>
        <n v="2.745619411886944"/>
        <n v="3.546900851369644"/>
        <n v="2.4773138227783784"/>
        <n v="3.7731404978096217"/>
        <n v="7.00722111230293"/>
        <n v="8.010281225940883"/>
        <n v="3.790929734494802"/>
        <n v="2.8628957105763337"/>
        <n v="4.450076496361964"/>
        <n v="6.480088051146666"/>
        <n v="3.3186227429241453"/>
        <n v="2.3896644472561426"/>
        <n v="3.47976850365922"/>
        <n v="2.5519999758724583"/>
        <n v="4.406419103992805"/>
        <n v="4.713352355555965"/>
        <n v="3.4822832939996884"/>
        <n v="5.047523181661853"/>
        <n v="2.7329336035386023"/>
        <n v="6.884368368338604"/>
        <n v="4.317090858910098"/>
        <n v="8.976043174516136"/>
        <n v="5.540302663719582"/>
        <n v="3.984302568480694"/>
        <n v="4.689880345159889"/>
        <n v="3.6303880640265693"/>
        <n v="2.9199060501917375"/>
        <n v="3.90270119727799"/>
        <n v="3.1389263728967407"/>
        <n v="4.99987445702625"/>
        <n v="5.374911906258729"/>
        <n v="8.49725609073962"/>
        <n v="5.956097919426024"/>
        <n v="7.611411572096673"/>
        <n v="7.659106237171932"/>
        <n v="6.514577008339481"/>
        <n v="3.77980797701197"/>
        <n v="6.813641332059942"/>
        <n v="4.5192293250665365"/>
        <n v="3.311928454644833"/>
        <n v="5.210848494555952"/>
        <n v="8.578924106640349"/>
        <n v="7.417557201734982"/>
        <n v="4.913290967195282"/>
        <n v="8.567602217718834"/>
        <n v="14.35631003298401"/>
        <n v="6.1344263421771705"/>
        <n v="7.073586154599008"/>
        <n v="6.43695051363765"/>
        <n v="4.635101059312742"/>
        <n v="3.7279925417467314"/>
        <n v="5.537836171668071"/>
        <n v="5.086961704943558"/>
        <n v="15.554899512517814"/>
        <n v="8.349394712094776"/>
        <n v="4.895915674670868"/>
        <n v="4.077459260983343"/>
        <n v="8.180389079862463"/>
        <n v="9.97026025072427"/>
        <n v="11.47298955447039"/>
        <n v="6.811678579398993"/>
        <n v="7.54979366598181"/>
        <n v="4.675795753149078"/>
        <n v="5.687404321852816"/>
        <n v="4.168028407440247"/>
        <n v="5.999863741495261"/>
        <n v="4.39701507051922"/>
        <n v="14.23907653121974"/>
        <n v="4.631970335291189"/>
        <n v="5.7590379721505265"/>
        <n v="8.554901448714272"/>
        <n v="14.057705721640158"/>
        <n v="6.926458980724064"/>
        <n v="8.055208602081773"/>
        <n v="9.79795325449178"/>
        <n v="4.69952441214867"/>
        <n v="8.84004401422208"/>
        <n v="5.119756332429667"/>
        <n v="6.986066659218478"/>
        <n v="8.22322505681067"/>
        <n v="8.927628345394721"/>
        <n v="11.024866051335072"/>
        <n v="16.454365810194833"/>
        <n v="8.04529637623867"/>
        <n v="10.889497902548818"/>
        <n v="5.8960154658944"/>
        <n v="10.1803743855727"/>
        <n v="11.389300581072353"/>
        <n v="12.847408106236356"/>
        <n v="13.811084135869567"/>
        <n v="8.491735626995677"/>
        <n v="15.56527069606357"/>
        <n v="11.125105834525353"/>
        <n v="11.90003550580447"/>
        <n v="7.228095426626578"/>
        <n v="8.791894115664528"/>
        <n v="14.43042006140698"/>
        <n v="16.93950498833375"/>
        <n v="21.677958165401577"/>
        <n v="10.80250213340626"/>
        <n v="12.42169088948165"/>
        <n v="9.177299595834652"/>
        <n v="16.119347845918654"/>
        <n v="16.464316480440704"/>
        <n v="9.887194073498279"/>
        <n v="12.61874661065902"/>
        <n v="17.33618260232377"/>
        <n v="16.411284948796364"/>
        <n v="14.617290522354416"/>
        <n v="10.79943588973005"/>
        <n v="9.948086391586523"/>
        <n v="8.867775426648405"/>
        <n v="14.772489585758853"/>
        <n v="12.385843666634841"/>
        <n v="41.09934034800059"/>
        <n v="10.694020703754319"/>
        <n v="13.007672443252812"/>
        <n v="25.062123057931977"/>
        <n v="28.665922617473804"/>
        <n v="28.49462526965297"/>
        <n v="33.42331199771714"/>
        <n v="11.297424028187912"/>
        <n v="22.2626497474984"/>
        <n v="27.517461190267937"/>
        <n v="30.54444287020864"/>
        <n v="19.620050901778363"/>
        <n v="37.290091945186866"/>
        <n v="39.6396194135116"/>
        <n v="42.40075424662146"/>
        <n v="37.585856908556224"/>
        <n v="29.057318097934225"/>
        <n v="31.632765597198613"/>
        <n v="32.70767066249256"/>
        <n v="50.20091047730239"/>
        <n v="82.40556791189718"/>
        <n v="147.7611780775246"/>
        <n v="204.43335421494234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229" sheet="Tree data"/>
  </cacheSource>
  <cacheFields>
    <cacheField name="Block and pathway" numFmtId="0">
      <sharedItems>
        <s v="Outer road"/>
        <s v="BW Block D-Mess"/>
        <s v="BW Block C-D"/>
        <s v="BW Block B-C"/>
        <s v="Mess front"/>
        <s v="BW Block A-B"/>
        <s v="BW Block F - E"/>
        <s v="BW Block H - G"/>
        <s v="BW Block E-Mess"/>
        <s v="BW Hall office - Block H"/>
      </sharedItems>
    </cacheField>
    <cacheField name="General name" numFmtId="0">
      <sharedItems>
        <s v="False Ashoka"/>
        <s v="Mango"/>
        <s v="Guava"/>
        <s v="Coromandel Ailanto"/>
        <s v="Bamboo"/>
        <s v="Guava "/>
        <s v="Jamun"/>
        <s v="Sagwan/Teek"/>
        <s v="Neem"/>
        <s v="gulmohar "/>
        <s v="Mango "/>
        <s v="Sapodilla"/>
        <s v="mulberry"/>
        <s v="Kathal"/>
        <s v="waterberries"/>
        <s v="Taad"/>
        <s v="Sisam"/>
        <s v="Kadam"/>
        <s v="Amaltash "/>
        <s v="water caltrop"/>
        <s v="Sisham"/>
        <s v="Jamun "/>
        <s v="Dead neem"/>
        <s v="Dead Sisam"/>
        <s v="Pipal"/>
      </sharedItems>
    </cacheField>
    <cacheField name="Scientific name" numFmtId="0">
      <sharedItems>
        <s v="Polyalthia longifolia"/>
        <s v="Mangifera indica"/>
        <s v="Psidium guajava"/>
        <s v="Ailanthus excelsa"/>
        <s v="Bambusa sp."/>
        <s v="Syzygium cumini"/>
        <s v="Tectona grandis"/>
        <s v="Azadirachta indica"/>
        <s v="Delonix regia"/>
        <s v="Manilkara zapota"/>
        <s v="Morus alba"/>
        <s v="Artocarpus heterophyllus"/>
        <s v="Syzygium genus"/>
        <s v="Borassus flabellifer"/>
        <s v="Dalbergia sissoo"/>
        <s v="Neolamarckia cadamba"/>
        <s v="Cassia fistula"/>
        <s v="Trapa natans"/>
        <s v="Ficus religiosa"/>
      </sharedItems>
    </cacheField>
    <cacheField name="Trunks" numFmtId="0">
      <sharedItems containsSemiMixedTypes="0" containsString="0" containsNumber="1" containsInteger="1">
        <n v="1.0"/>
        <n v="3.0"/>
        <n v="4.0"/>
        <n v="2.0"/>
        <n v="37.0"/>
        <n v="10.0"/>
        <n v="5.0"/>
        <n v="30.0"/>
        <n v="6.0"/>
      </sharedItems>
    </cacheField>
    <cacheField name="Circumference (in cm)" numFmtId="0">
      <sharedItems containsSemiMixedTypes="0" containsString="0" containsNumber="1" containsInteger="1">
        <n v="8.0"/>
        <n v="10.0"/>
        <n v="12.0"/>
        <n v="14.0"/>
        <n v="15.0"/>
        <n v="16.0"/>
        <n v="18.0"/>
        <n v="19.0"/>
        <n v="22.0"/>
        <n v="23.0"/>
        <n v="24.0"/>
        <n v="25.0"/>
        <n v="26.0"/>
        <n v="28.0"/>
        <n v="29.0"/>
        <n v="30.0"/>
        <n v="31.0"/>
        <n v="32.0"/>
        <n v="34.0"/>
        <n v="35.0"/>
        <n v="36.0"/>
        <n v="37.0"/>
        <n v="38.0"/>
        <n v="40.0"/>
        <n v="42.0"/>
        <n v="43.0"/>
        <n v="44.0"/>
        <n v="45.0"/>
        <n v="46.0"/>
        <n v="47.0"/>
        <n v="48.0"/>
        <n v="50.0"/>
        <n v="53.0"/>
        <n v="54.0"/>
        <n v="55.0"/>
        <n v="60.0"/>
        <n v="62.0"/>
        <n v="65.0"/>
        <n v="67.0"/>
        <n v="70.0"/>
        <n v="80.0"/>
        <n v="85.0"/>
        <n v="86.0"/>
        <n v="110.0"/>
        <n v="150.0"/>
      </sharedItems>
    </cacheField>
    <cacheField name="DBH (in cm)" numFmtId="164">
      <sharedItems containsSemiMixedTypes="0" containsString="0" containsNumber="1">
        <n v="2.5464790894703255"/>
        <n v="3.183098861837907"/>
        <n v="3.819718634205488"/>
        <n v="4.45633840657307"/>
        <n v="4.7746482927568605"/>
        <n v="5.092958178940651"/>
        <n v="5.729577951308232"/>
        <n v="6.047887837492023"/>
        <n v="7.002817496043395"/>
        <n v="7.321127382227186"/>
        <n v="7.639437268410976"/>
        <n v="7.957747154594767"/>
        <n v="8.276057040778557"/>
        <n v="8.91267681314614"/>
        <n v="9.23098669932993"/>
        <n v="9.549296585513721"/>
        <n v="9.867606471697512"/>
        <n v="10.185916357881302"/>
        <n v="10.822536130248883"/>
        <n v="11.140846016432674"/>
        <n v="11.459155902616464"/>
        <n v="11.777465788800255"/>
        <n v="12.095775674984045"/>
        <n v="12.732395447351628"/>
        <n v="13.36901521971921"/>
        <n v="13.687325105903"/>
        <n v="14.00563499208679"/>
        <n v="14.32394487827058"/>
        <n v="14.642254764454371"/>
        <n v="14.960564650638162"/>
        <n v="15.278874536821952"/>
        <n v="15.915494309189533"/>
        <n v="16.870423967740905"/>
        <n v="17.188733853924695"/>
        <n v="17.507043740108486"/>
        <n v="19.098593171027442"/>
        <n v="19.735212943395023"/>
        <n v="20.690142601946395"/>
        <n v="21.326762374313976"/>
        <n v="22.281692032865347"/>
        <n v="25.464790894703256"/>
        <n v="27.05634032562221"/>
        <n v="27.374650211806"/>
        <n v="35.01408748021697"/>
        <n v="47.746482927568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ree data" cacheId="0" dataCaption="" compact="0" compactData="0">
  <location ref="O1:T21" firstHeaderRow="0" firstDataRow="2" firstDataCol="0"/>
  <pivotFields>
    <pivotField name="Block and pathw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Genera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cientific name" axis="axisRow" dataField="1" compact="0" outline="0" multipleItemSelectionAllowed="1" showAll="0" sortType="ascending">
      <items>
        <item x="3"/>
        <item x="11"/>
        <item x="7"/>
        <item x="4"/>
        <item x="13"/>
        <item x="16"/>
        <item x="14"/>
        <item x="8"/>
        <item x="18"/>
        <item x="1"/>
        <item x="9"/>
        <item x="10"/>
        <item x="15"/>
        <item x="0"/>
        <item x="2"/>
        <item x="5"/>
        <item x="12"/>
        <item x="6"/>
        <item x="17"/>
        <item t="default"/>
      </items>
    </pivotField>
    <pivotField name="Trun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ircumference (in c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DBH (in cm)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Adjusted DBH  (in cm)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Hight (in 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ens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AGB  Ste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name="AGB Foliage Biomass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name="BGB (in Kg)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name="TB (in Kg)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</pivotFields>
  <rowFields>
    <field x="2"/>
  </rowFields>
  <colFields>
    <field x="-2"/>
  </colFields>
  <dataFields>
    <dataField name="COUNTA of Scientific name" fld="2" subtotal="count" baseField="0"/>
    <dataField name="SUM of AGB  Stem" fld="9" baseField="0"/>
    <dataField name="SUM of AGB Foliage Biomass" fld="10" baseField="0"/>
    <dataField name="SUM of BGB (in Kg)" fld="11" baseField="0"/>
    <dataField name="SUM of TB (in Kg)" fld="12" baseField="0"/>
  </dataFields>
</pivotTableDefinition>
</file>

<file path=xl/pivotTables/pivotTable2.xml><?xml version="1.0" encoding="utf-8"?>
<pivotTableDefinition xmlns="http://schemas.openxmlformats.org/spreadsheetml/2006/main" name="Tree data 2" cacheId="1" dataCaption="" compact="0" compactData="0">
  <location ref="V1:AG22" firstHeaderRow="0" firstDataRow="1" firstDataCol="1"/>
  <pivotFields>
    <pivotField name="Block and pathway" axis="axisCol" compact="0" outline="0" multipleItemSelectionAllowed="1" showAll="0" sortType="ascending">
      <items>
        <item x="5"/>
        <item x="3"/>
        <item x="2"/>
        <item x="1"/>
        <item x="8"/>
        <item x="6"/>
        <item x="7"/>
        <item x="9"/>
        <item x="4"/>
        <item x="0"/>
        <item t="default"/>
      </items>
    </pivotField>
    <pivotField name="General 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cientific name" axis="axisRow" compact="0" outline="0" multipleItemSelectionAllowed="1" showAll="0" sortType="ascending">
      <items>
        <item x="3"/>
        <item x="11"/>
        <item x="7"/>
        <item x="4"/>
        <item x="13"/>
        <item x="16"/>
        <item x="14"/>
        <item x="8"/>
        <item x="18"/>
        <item x="1"/>
        <item x="9"/>
        <item x="10"/>
        <item x="15"/>
        <item x="0"/>
        <item x="2"/>
        <item x="5"/>
        <item x="12"/>
        <item x="6"/>
        <item x="17"/>
        <item t="default"/>
      </items>
    </pivotField>
    <pivotField name="Trun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ircumference (in c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DBH (in cm)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</pivotFields>
  <rowFields>
    <field x="2"/>
  </rowFields>
  <colFields>
    <field x="0"/>
  </colFields>
  <dataFields>
    <dataField name="Data summary" fld="1" subtotal="count" baseField="0"/>
  </dataFields>
</pivotTableDefinition>
</file>

<file path=xl/tables/table1.xml><?xml version="1.0" encoding="utf-8"?>
<table xmlns="http://schemas.openxmlformats.org/spreadsheetml/2006/main" totalsRowCount="1" ref="A1:M230" displayName="Table1" name="Table1" id="1">
  <tableColumns count="13">
    <tableColumn name="Block and pathway" id="1"/>
    <tableColumn name="General name" id="2"/>
    <tableColumn name="Scientific name" id="3"/>
    <tableColumn name="Trunks" id="4"/>
    <tableColumn name="Circumference (in cm)" id="5"/>
    <tableColumn name="DBH (in cm)" id="6"/>
    <tableColumn name="Adjusted DBH  (in cm)" id="7"/>
    <tableColumn name="Hight (in M)" id="8"/>
    <tableColumn name="Density" id="9"/>
    <tableColumn totalsRowFunction="custom" name="AGB  Stem" id="10"/>
    <tableColumn totalsRowFunction="custom" name="AGB Foliage Biomass" id="11"/>
    <tableColumn totalsRowFunction="custom" name="BGB (in Kg)" id="12"/>
    <tableColumn totalsRowFunction="custom" name="TB (in Kg)" id="13"/>
  </tableColumns>
  <tableStyleInfo name="Tree data-style" showColumnStripes="0" showFirstColumn="1" showLastColumn="1" showRowStripes="1"/>
</table>
</file>

<file path=xl/tables/table2.xml><?xml version="1.0" encoding="utf-8"?>
<table xmlns="http://schemas.openxmlformats.org/spreadsheetml/2006/main" headerRowCount="0" ref="J231:J1899" displayName="Table_1" name="Table_1" id="2">
  <tableColumns count="1">
    <tableColumn name="Column1" id="1"/>
  </tableColumns>
  <tableStyleInfo name="Tree data-style 2" showColumnStripes="0" showFirstColumn="1" showLastColumn="1" showRowStripes="1"/>
</table>
</file>

<file path=xl/tables/table3.xml><?xml version="1.0" encoding="utf-8"?>
<table xmlns="http://schemas.openxmlformats.org/spreadsheetml/2006/main" headerRowCount="0" ref="K231:K1899" displayName="Table_2" name="Table_2" id="3">
  <tableColumns count="1">
    <tableColumn name="Column1" id="1"/>
  </tableColumns>
  <tableStyleInfo name="Tree data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1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15.88"/>
    <col customWidth="1" min="3" max="3" width="17.13"/>
    <col customWidth="1" min="4" max="4" width="13.75"/>
    <col customWidth="1" min="5" max="5" width="25.25"/>
    <col customWidth="1" min="6" max="7" width="17.75"/>
    <col customWidth="1" min="10" max="10" width="21.25"/>
    <col customWidth="1" min="11" max="11" width="18.0"/>
    <col customWidth="1" min="13" max="13" width="13.0"/>
    <col customWidth="1" min="14" max="14" width="31.75"/>
    <col customWidth="1" min="15" max="15" width="29.13"/>
    <col customWidth="1" min="22" max="22" width="19.38"/>
    <col customWidth="1" min="23" max="23" width="15.0"/>
    <col customWidth="1" min="24" max="24" width="11.5"/>
    <col customWidth="1" min="25" max="25" width="11.63"/>
    <col customWidth="1" min="26" max="27" width="8.25"/>
    <col customWidth="1" min="28" max="28" width="12.25"/>
    <col customWidth="1" min="29" max="29" width="12.63"/>
    <col customWidth="1" min="30" max="30" width="12.5"/>
    <col customWidth="1" min="31" max="31" width="8.75"/>
    <col customWidth="1" min="32" max="32" width="9.0"/>
    <col customWidth="1" min="33" max="33" width="9.63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ht="22.5" customHeight="1">
      <c r="A2" s="6" t="s">
        <v>19</v>
      </c>
      <c r="B2" s="6" t="s">
        <v>20</v>
      </c>
      <c r="C2" s="7" t="s">
        <v>21</v>
      </c>
      <c r="D2" s="6">
        <v>1.0</v>
      </c>
      <c r="E2" s="6">
        <v>8.0</v>
      </c>
      <c r="F2" s="8">
        <f t="shared" ref="F2:F229" si="1">E2/PI()</f>
        <v>2.546479089</v>
      </c>
      <c r="G2" s="8">
        <f t="shared" ref="G2:G8" si="2">(sqrt(SQRT(D2))*E2/PI())</f>
        <v>2.546479089</v>
      </c>
      <c r="H2" s="6">
        <v>8.0</v>
      </c>
      <c r="I2" s="9">
        <v>520.0</v>
      </c>
      <c r="J2" s="10">
        <f t="shared" ref="J2:J229" si="3">0.0673*(I2*(G2/100)^2*H2)^0.976</f>
        <v>0.1772740873</v>
      </c>
      <c r="K2" s="8">
        <f t="shared" ref="K2:K229" si="4">0.04*J2</f>
        <v>0.007090963491</v>
      </c>
      <c r="L2" s="8">
        <f t="shared" ref="L2:L229" si="5">(J2+K2)*0.2</f>
        <v>0.03687301015</v>
      </c>
      <c r="M2" s="8">
        <f t="shared" ref="M2:M229" si="6">SUM(J2:L2)</f>
        <v>0.2212380609</v>
      </c>
      <c r="N2" s="11"/>
    </row>
    <row r="3" ht="22.5" customHeight="1">
      <c r="A3" s="6" t="s">
        <v>19</v>
      </c>
      <c r="B3" s="6" t="s">
        <v>33</v>
      </c>
      <c r="C3" s="7" t="s">
        <v>34</v>
      </c>
      <c r="D3" s="6">
        <v>1.0</v>
      </c>
      <c r="E3" s="6">
        <v>8.0</v>
      </c>
      <c r="F3" s="8">
        <f t="shared" si="1"/>
        <v>2.546479089</v>
      </c>
      <c r="G3" s="8">
        <f t="shared" si="2"/>
        <v>2.546479089</v>
      </c>
      <c r="H3" s="6">
        <v>9.0</v>
      </c>
      <c r="I3" s="9">
        <v>520.0</v>
      </c>
      <c r="J3" s="10">
        <f t="shared" si="3"/>
        <v>0.1988703875</v>
      </c>
      <c r="K3" s="8">
        <f t="shared" si="4"/>
        <v>0.007954815499</v>
      </c>
      <c r="L3" s="8">
        <f t="shared" si="5"/>
        <v>0.0413650406</v>
      </c>
      <c r="M3" s="8">
        <f t="shared" si="6"/>
        <v>0.2481902436</v>
      </c>
      <c r="N3" s="11"/>
    </row>
    <row r="4" ht="22.5" customHeight="1">
      <c r="A4" s="6" t="s">
        <v>19</v>
      </c>
      <c r="B4" s="6" t="s">
        <v>20</v>
      </c>
      <c r="C4" s="7" t="s">
        <v>21</v>
      </c>
      <c r="D4" s="6">
        <v>1.0</v>
      </c>
      <c r="E4" s="6">
        <v>8.0</v>
      </c>
      <c r="F4" s="8">
        <f t="shared" si="1"/>
        <v>2.546479089</v>
      </c>
      <c r="G4" s="8">
        <f t="shared" si="2"/>
        <v>2.546479089</v>
      </c>
      <c r="H4" s="6">
        <v>12.0</v>
      </c>
      <c r="I4" s="9">
        <v>520.0</v>
      </c>
      <c r="J4" s="10">
        <f t="shared" si="3"/>
        <v>0.263336056</v>
      </c>
      <c r="K4" s="8">
        <f t="shared" si="4"/>
        <v>0.01053344224</v>
      </c>
      <c r="L4" s="8">
        <f t="shared" si="5"/>
        <v>0.05477389965</v>
      </c>
      <c r="M4" s="8">
        <f t="shared" si="6"/>
        <v>0.3286433979</v>
      </c>
      <c r="N4" s="11"/>
    </row>
    <row r="5" ht="22.5" customHeight="1">
      <c r="A5" s="6" t="s">
        <v>19</v>
      </c>
      <c r="B5" s="6" t="s">
        <v>20</v>
      </c>
      <c r="C5" s="7" t="s">
        <v>21</v>
      </c>
      <c r="D5" s="6">
        <v>1.0</v>
      </c>
      <c r="E5" s="6">
        <v>8.0</v>
      </c>
      <c r="F5" s="8">
        <f t="shared" si="1"/>
        <v>2.546479089</v>
      </c>
      <c r="G5" s="8">
        <f t="shared" si="2"/>
        <v>2.546479089</v>
      </c>
      <c r="H5" s="6">
        <v>11.0</v>
      </c>
      <c r="I5" s="9">
        <v>520.0</v>
      </c>
      <c r="J5" s="10">
        <f t="shared" si="3"/>
        <v>0.2418960025</v>
      </c>
      <c r="K5" s="8">
        <f t="shared" si="4"/>
        <v>0.009675840101</v>
      </c>
      <c r="L5" s="8">
        <f t="shared" si="5"/>
        <v>0.05031436852</v>
      </c>
      <c r="M5" s="8">
        <f t="shared" si="6"/>
        <v>0.3018862111</v>
      </c>
      <c r="N5" s="11"/>
    </row>
    <row r="6" ht="22.5" customHeight="1">
      <c r="A6" s="6" t="s">
        <v>26</v>
      </c>
      <c r="B6" s="6" t="s">
        <v>38</v>
      </c>
      <c r="C6" s="7" t="s">
        <v>39</v>
      </c>
      <c r="D6" s="6">
        <v>3.0</v>
      </c>
      <c r="E6" s="6">
        <v>8.0</v>
      </c>
      <c r="F6" s="8">
        <f t="shared" si="1"/>
        <v>2.546479089</v>
      </c>
      <c r="G6" s="8">
        <f t="shared" si="2"/>
        <v>3.351354954</v>
      </c>
      <c r="H6" s="6">
        <v>9.0</v>
      </c>
      <c r="I6" s="9">
        <v>670.0</v>
      </c>
      <c r="J6" s="10">
        <f t="shared" si="3"/>
        <v>0.435346479</v>
      </c>
      <c r="K6" s="8">
        <f t="shared" si="4"/>
        <v>0.01741385916</v>
      </c>
      <c r="L6" s="8">
        <f t="shared" si="5"/>
        <v>0.09055206763</v>
      </c>
      <c r="M6" s="8">
        <f t="shared" si="6"/>
        <v>0.5433124058</v>
      </c>
      <c r="N6" s="11"/>
    </row>
    <row r="7" ht="22.5" customHeight="1">
      <c r="A7" s="6" t="s">
        <v>25</v>
      </c>
      <c r="B7" s="6" t="s">
        <v>38</v>
      </c>
      <c r="C7" s="7" t="s">
        <v>39</v>
      </c>
      <c r="D7" s="6">
        <v>4.0</v>
      </c>
      <c r="E7" s="6">
        <v>8.0</v>
      </c>
      <c r="F7" s="8">
        <f t="shared" si="1"/>
        <v>2.546479089</v>
      </c>
      <c r="G7" s="8">
        <f t="shared" si="2"/>
        <v>3.601265265</v>
      </c>
      <c r="H7" s="6">
        <v>11.0</v>
      </c>
      <c r="I7" s="9">
        <v>670.0</v>
      </c>
      <c r="J7" s="10">
        <f t="shared" si="3"/>
        <v>0.6093456446</v>
      </c>
      <c r="K7" s="8">
        <f t="shared" si="4"/>
        <v>0.02437382578</v>
      </c>
      <c r="L7" s="8">
        <f t="shared" si="5"/>
        <v>0.1267438941</v>
      </c>
      <c r="M7" s="8">
        <f t="shared" si="6"/>
        <v>0.7604633644</v>
      </c>
      <c r="N7" s="11"/>
    </row>
    <row r="8" ht="22.5" customHeight="1">
      <c r="A8" s="6" t="s">
        <v>24</v>
      </c>
      <c r="B8" s="6" t="s">
        <v>42</v>
      </c>
      <c r="C8" s="7" t="s">
        <v>22</v>
      </c>
      <c r="D8" s="6">
        <v>2.0</v>
      </c>
      <c r="E8" s="6">
        <v>10.0</v>
      </c>
      <c r="F8" s="8">
        <f t="shared" si="1"/>
        <v>3.183098862</v>
      </c>
      <c r="G8" s="8">
        <f t="shared" si="2"/>
        <v>3.785363814</v>
      </c>
      <c r="H8" s="6">
        <v>6.0</v>
      </c>
      <c r="I8" s="9">
        <v>540.0</v>
      </c>
      <c r="J8" s="10">
        <f t="shared" si="3"/>
        <v>0.3011432136</v>
      </c>
      <c r="K8" s="8">
        <f t="shared" si="4"/>
        <v>0.01204572854</v>
      </c>
      <c r="L8" s="8">
        <f t="shared" si="5"/>
        <v>0.06263778843</v>
      </c>
      <c r="M8" s="8">
        <f t="shared" si="6"/>
        <v>0.3758267306</v>
      </c>
      <c r="N8" s="11"/>
    </row>
    <row r="9" ht="22.5" customHeight="1">
      <c r="A9" s="6" t="s">
        <v>31</v>
      </c>
      <c r="B9" s="6" t="s">
        <v>44</v>
      </c>
      <c r="C9" s="7" t="s">
        <v>37</v>
      </c>
      <c r="D9" s="6">
        <v>37.0</v>
      </c>
      <c r="E9" s="6">
        <v>10.0</v>
      </c>
      <c r="F9" s="8">
        <f t="shared" si="1"/>
        <v>3.183098862</v>
      </c>
      <c r="G9" s="8">
        <f>(E9/PI())</f>
        <v>3.183098862</v>
      </c>
      <c r="H9" s="6">
        <v>16.0</v>
      </c>
      <c r="I9" s="9">
        <v>600.0</v>
      </c>
      <c r="J9" s="10">
        <f t="shared" si="3"/>
        <v>0.6198337732</v>
      </c>
      <c r="K9" s="8">
        <f t="shared" si="4"/>
        <v>0.02479335093</v>
      </c>
      <c r="L9" s="8">
        <f t="shared" si="5"/>
        <v>0.1289254248</v>
      </c>
      <c r="M9" s="8">
        <f t="shared" si="6"/>
        <v>0.773552549</v>
      </c>
      <c r="N9" s="11"/>
    </row>
    <row r="10" ht="22.5" customHeight="1">
      <c r="A10" s="6" t="s">
        <v>19</v>
      </c>
      <c r="B10" s="6" t="s">
        <v>33</v>
      </c>
      <c r="C10" s="7" t="s">
        <v>34</v>
      </c>
      <c r="D10" s="6">
        <v>1.0</v>
      </c>
      <c r="E10" s="6">
        <v>10.0</v>
      </c>
      <c r="F10" s="8">
        <f t="shared" si="1"/>
        <v>3.183098862</v>
      </c>
      <c r="G10" s="8">
        <f t="shared" ref="G10:G31" si="7">(sqrt(SQRT(D10))*E10/PI())</f>
        <v>3.183098862</v>
      </c>
      <c r="H10" s="6">
        <v>11.0</v>
      </c>
      <c r="I10" s="9">
        <v>520.0</v>
      </c>
      <c r="J10" s="10">
        <f t="shared" si="3"/>
        <v>0.3739357923</v>
      </c>
      <c r="K10" s="8">
        <f t="shared" si="4"/>
        <v>0.01495743169</v>
      </c>
      <c r="L10" s="8">
        <f t="shared" si="5"/>
        <v>0.0777786448</v>
      </c>
      <c r="M10" s="8">
        <f t="shared" si="6"/>
        <v>0.4666718688</v>
      </c>
      <c r="N10" s="11"/>
    </row>
    <row r="11" ht="22.5" customHeight="1">
      <c r="A11" s="6" t="s">
        <v>23</v>
      </c>
      <c r="B11" s="6" t="s">
        <v>33</v>
      </c>
      <c r="C11" s="7" t="s">
        <v>34</v>
      </c>
      <c r="D11" s="6">
        <v>10.0</v>
      </c>
      <c r="E11" s="6">
        <v>10.0</v>
      </c>
      <c r="F11" s="8">
        <f t="shared" si="1"/>
        <v>3.183098862</v>
      </c>
      <c r="G11" s="8">
        <f t="shared" si="7"/>
        <v>5.660439166</v>
      </c>
      <c r="H11" s="6">
        <v>11.0</v>
      </c>
      <c r="I11" s="9">
        <v>520.0</v>
      </c>
      <c r="J11" s="10">
        <f t="shared" si="3"/>
        <v>1.1502627</v>
      </c>
      <c r="K11" s="8">
        <f t="shared" si="4"/>
        <v>0.04601050798</v>
      </c>
      <c r="L11" s="8">
        <f t="shared" si="5"/>
        <v>0.2392546415</v>
      </c>
      <c r="M11" s="8">
        <f t="shared" si="6"/>
        <v>1.435527849</v>
      </c>
      <c r="N11" s="11"/>
    </row>
    <row r="12" ht="22.5" customHeight="1">
      <c r="A12" s="6" t="s">
        <v>19</v>
      </c>
      <c r="B12" s="6" t="s">
        <v>20</v>
      </c>
      <c r="C12" s="7" t="s">
        <v>21</v>
      </c>
      <c r="D12" s="6">
        <v>1.0</v>
      </c>
      <c r="E12" s="6">
        <v>10.0</v>
      </c>
      <c r="F12" s="8">
        <f t="shared" si="1"/>
        <v>3.183098862</v>
      </c>
      <c r="G12" s="8">
        <f t="shared" si="7"/>
        <v>3.183098862</v>
      </c>
      <c r="H12" s="6">
        <v>10.0</v>
      </c>
      <c r="I12" s="9">
        <v>520.0</v>
      </c>
      <c r="J12" s="10">
        <f t="shared" si="3"/>
        <v>0.3407201169</v>
      </c>
      <c r="K12" s="8">
        <f t="shared" si="4"/>
        <v>0.01362880468</v>
      </c>
      <c r="L12" s="8">
        <f t="shared" si="5"/>
        <v>0.07086978432</v>
      </c>
      <c r="M12" s="8">
        <f t="shared" si="6"/>
        <v>0.4252187059</v>
      </c>
      <c r="N12" s="11"/>
    </row>
    <row r="13" ht="22.5" customHeight="1">
      <c r="A13" s="6" t="s">
        <v>19</v>
      </c>
      <c r="B13" s="6" t="s">
        <v>20</v>
      </c>
      <c r="C13" s="7" t="s">
        <v>21</v>
      </c>
      <c r="D13" s="6">
        <v>1.0</v>
      </c>
      <c r="E13" s="6">
        <v>10.0</v>
      </c>
      <c r="F13" s="8">
        <f t="shared" si="1"/>
        <v>3.183098862</v>
      </c>
      <c r="G13" s="8">
        <f t="shared" si="7"/>
        <v>3.183098862</v>
      </c>
      <c r="H13" s="6">
        <v>13.0</v>
      </c>
      <c r="I13" s="9">
        <v>520.0</v>
      </c>
      <c r="J13" s="10">
        <f t="shared" si="3"/>
        <v>0.4401558598</v>
      </c>
      <c r="K13" s="8">
        <f t="shared" si="4"/>
        <v>0.01760623439</v>
      </c>
      <c r="L13" s="8">
        <f t="shared" si="5"/>
        <v>0.09155241883</v>
      </c>
      <c r="M13" s="8">
        <f t="shared" si="6"/>
        <v>0.549314513</v>
      </c>
      <c r="N13" s="11"/>
    </row>
    <row r="14" ht="22.5" customHeight="1">
      <c r="A14" s="6" t="s">
        <v>19</v>
      </c>
      <c r="B14" s="6" t="s">
        <v>20</v>
      </c>
      <c r="C14" s="7" t="s">
        <v>21</v>
      </c>
      <c r="D14" s="6">
        <v>1.0</v>
      </c>
      <c r="E14" s="6">
        <v>10.0</v>
      </c>
      <c r="F14" s="8">
        <f t="shared" si="1"/>
        <v>3.183098862</v>
      </c>
      <c r="G14" s="8">
        <f t="shared" si="7"/>
        <v>3.183098862</v>
      </c>
      <c r="H14" s="6">
        <v>13.0</v>
      </c>
      <c r="I14" s="9">
        <v>520.0</v>
      </c>
      <c r="J14" s="10">
        <f t="shared" si="3"/>
        <v>0.4401558598</v>
      </c>
      <c r="K14" s="8">
        <f t="shared" si="4"/>
        <v>0.01760623439</v>
      </c>
      <c r="L14" s="8">
        <f t="shared" si="5"/>
        <v>0.09155241883</v>
      </c>
      <c r="M14" s="8">
        <f t="shared" si="6"/>
        <v>0.549314513</v>
      </c>
      <c r="N14" s="11"/>
    </row>
    <row r="15" ht="22.5" customHeight="1">
      <c r="A15" s="6" t="s">
        <v>24</v>
      </c>
      <c r="B15" s="6" t="s">
        <v>38</v>
      </c>
      <c r="C15" s="7" t="s">
        <v>39</v>
      </c>
      <c r="D15" s="6">
        <v>2.0</v>
      </c>
      <c r="E15" s="6">
        <v>10.0</v>
      </c>
      <c r="F15" s="8">
        <f t="shared" si="1"/>
        <v>3.183098862</v>
      </c>
      <c r="G15" s="8">
        <f t="shared" si="7"/>
        <v>3.785363814</v>
      </c>
      <c r="H15" s="6">
        <v>12.0</v>
      </c>
      <c r="I15" s="9">
        <v>670.0</v>
      </c>
      <c r="J15" s="10">
        <f t="shared" si="3"/>
        <v>0.7311576936</v>
      </c>
      <c r="K15" s="8">
        <f t="shared" si="4"/>
        <v>0.02924630774</v>
      </c>
      <c r="L15" s="8">
        <f t="shared" si="5"/>
        <v>0.1520808003</v>
      </c>
      <c r="M15" s="8">
        <f t="shared" si="6"/>
        <v>0.9124848016</v>
      </c>
      <c r="N15" s="11"/>
    </row>
    <row r="16" ht="22.5" customHeight="1">
      <c r="A16" s="6" t="s">
        <v>24</v>
      </c>
      <c r="B16" s="6" t="s">
        <v>50</v>
      </c>
      <c r="C16" s="7" t="s">
        <v>39</v>
      </c>
      <c r="D16" s="6">
        <v>5.0</v>
      </c>
      <c r="E16" s="6">
        <v>10.0</v>
      </c>
      <c r="F16" s="8">
        <f t="shared" si="1"/>
        <v>3.183098862</v>
      </c>
      <c r="G16" s="8">
        <f t="shared" si="7"/>
        <v>4.759843004</v>
      </c>
      <c r="H16" s="6">
        <v>12.0</v>
      </c>
      <c r="I16" s="9">
        <v>670.0</v>
      </c>
      <c r="J16" s="10">
        <f t="shared" si="3"/>
        <v>1.143419984</v>
      </c>
      <c r="K16" s="8">
        <f t="shared" si="4"/>
        <v>0.04573679937</v>
      </c>
      <c r="L16" s="8">
        <f t="shared" si="5"/>
        <v>0.2378313567</v>
      </c>
      <c r="M16" s="8">
        <f t="shared" si="6"/>
        <v>1.42698814</v>
      </c>
      <c r="N16" s="11"/>
    </row>
    <row r="17" ht="22.5" customHeight="1">
      <c r="A17" s="6" t="s">
        <v>23</v>
      </c>
      <c r="B17" s="6" t="s">
        <v>42</v>
      </c>
      <c r="C17" s="7" t="s">
        <v>22</v>
      </c>
      <c r="D17" s="6">
        <v>2.0</v>
      </c>
      <c r="E17" s="6">
        <v>12.0</v>
      </c>
      <c r="F17" s="8">
        <f t="shared" si="1"/>
        <v>3.819718634</v>
      </c>
      <c r="G17" s="8">
        <f t="shared" si="7"/>
        <v>4.542436577</v>
      </c>
      <c r="H17" s="6">
        <v>5.5</v>
      </c>
      <c r="I17" s="9">
        <v>540.0</v>
      </c>
      <c r="J17" s="10">
        <f t="shared" si="3"/>
        <v>0.3948691796</v>
      </c>
      <c r="K17" s="8">
        <f t="shared" si="4"/>
        <v>0.01579476718</v>
      </c>
      <c r="L17" s="8">
        <f t="shared" si="5"/>
        <v>0.08213278936</v>
      </c>
      <c r="M17" s="8">
        <f t="shared" si="6"/>
        <v>0.4927967361</v>
      </c>
      <c r="N17" s="11"/>
    </row>
    <row r="18" ht="22.5" customHeight="1">
      <c r="A18" s="6" t="s">
        <v>23</v>
      </c>
      <c r="B18" s="6" t="s">
        <v>42</v>
      </c>
      <c r="C18" s="7" t="s">
        <v>22</v>
      </c>
      <c r="D18" s="6">
        <v>3.0</v>
      </c>
      <c r="E18" s="6">
        <v>12.0</v>
      </c>
      <c r="F18" s="8">
        <f t="shared" si="1"/>
        <v>3.819718634</v>
      </c>
      <c r="G18" s="8">
        <f t="shared" si="7"/>
        <v>5.027032431</v>
      </c>
      <c r="H18" s="6">
        <v>6.0</v>
      </c>
      <c r="I18" s="9">
        <v>540.0</v>
      </c>
      <c r="J18" s="10">
        <f t="shared" si="3"/>
        <v>0.5239229313</v>
      </c>
      <c r="K18" s="8">
        <f t="shared" si="4"/>
        <v>0.02095691725</v>
      </c>
      <c r="L18" s="8">
        <f t="shared" si="5"/>
        <v>0.1089759697</v>
      </c>
      <c r="M18" s="8">
        <f t="shared" si="6"/>
        <v>0.6538558183</v>
      </c>
      <c r="N18" s="11"/>
    </row>
    <row r="19" ht="22.5" customHeight="1">
      <c r="A19" s="6" t="s">
        <v>19</v>
      </c>
      <c r="B19" s="6" t="s">
        <v>53</v>
      </c>
      <c r="C19" s="7" t="s">
        <v>34</v>
      </c>
      <c r="D19" s="6">
        <v>1.0</v>
      </c>
      <c r="E19" s="6">
        <v>12.0</v>
      </c>
      <c r="F19" s="8">
        <f t="shared" si="1"/>
        <v>3.819718634</v>
      </c>
      <c r="G19" s="8">
        <f t="shared" si="7"/>
        <v>3.819718634</v>
      </c>
      <c r="H19" s="6">
        <v>12.0</v>
      </c>
      <c r="I19" s="9">
        <v>520.0</v>
      </c>
      <c r="J19" s="10">
        <f t="shared" si="3"/>
        <v>0.58108607</v>
      </c>
      <c r="K19" s="8">
        <f t="shared" si="4"/>
        <v>0.0232434428</v>
      </c>
      <c r="L19" s="8">
        <f t="shared" si="5"/>
        <v>0.1208659026</v>
      </c>
      <c r="M19" s="8">
        <f t="shared" si="6"/>
        <v>0.7251954154</v>
      </c>
      <c r="N19" s="11"/>
    </row>
    <row r="20" ht="22.5" customHeight="1">
      <c r="A20" s="6" t="s">
        <v>25</v>
      </c>
      <c r="B20" s="6" t="s">
        <v>33</v>
      </c>
      <c r="C20" s="7" t="s">
        <v>34</v>
      </c>
      <c r="D20" s="6">
        <v>2.0</v>
      </c>
      <c r="E20" s="6">
        <v>12.0</v>
      </c>
      <c r="F20" s="8">
        <f t="shared" si="1"/>
        <v>3.819718634</v>
      </c>
      <c r="G20" s="8">
        <f t="shared" si="7"/>
        <v>4.542436577</v>
      </c>
      <c r="H20" s="6">
        <v>11.0</v>
      </c>
      <c r="I20" s="9">
        <v>520.0</v>
      </c>
      <c r="J20" s="10">
        <f t="shared" si="3"/>
        <v>0.7486200716</v>
      </c>
      <c r="K20" s="8">
        <f t="shared" si="4"/>
        <v>0.02994480286</v>
      </c>
      <c r="L20" s="8">
        <f t="shared" si="5"/>
        <v>0.1557129749</v>
      </c>
      <c r="M20" s="8">
        <f t="shared" si="6"/>
        <v>0.9342778493</v>
      </c>
      <c r="N20" s="11"/>
    </row>
    <row r="21" ht="22.5" customHeight="1">
      <c r="A21" s="6" t="s">
        <v>19</v>
      </c>
      <c r="B21" s="6" t="s">
        <v>20</v>
      </c>
      <c r="C21" s="7" t="s">
        <v>21</v>
      </c>
      <c r="D21" s="6">
        <v>1.0</v>
      </c>
      <c r="E21" s="6">
        <v>12.0</v>
      </c>
      <c r="F21" s="8">
        <f t="shared" si="1"/>
        <v>3.819718634</v>
      </c>
      <c r="G21" s="8">
        <f t="shared" si="7"/>
        <v>3.819718634</v>
      </c>
      <c r="H21" s="6">
        <v>14.0</v>
      </c>
      <c r="I21" s="9">
        <v>520.0</v>
      </c>
      <c r="J21" s="10">
        <f t="shared" si="3"/>
        <v>0.6754302874</v>
      </c>
      <c r="K21" s="8">
        <f t="shared" si="4"/>
        <v>0.0270172115</v>
      </c>
      <c r="L21" s="8">
        <f t="shared" si="5"/>
        <v>0.1404894998</v>
      </c>
      <c r="M21" s="8">
        <f t="shared" si="6"/>
        <v>0.8429369987</v>
      </c>
      <c r="N21" s="11"/>
    </row>
    <row r="22" ht="22.5" customHeight="1">
      <c r="A22" s="6" t="s">
        <v>19</v>
      </c>
      <c r="B22" s="6" t="s">
        <v>20</v>
      </c>
      <c r="C22" s="7" t="s">
        <v>21</v>
      </c>
      <c r="D22" s="6">
        <v>1.0</v>
      </c>
      <c r="E22" s="6">
        <v>12.0</v>
      </c>
      <c r="F22" s="8">
        <f t="shared" si="1"/>
        <v>3.819718634</v>
      </c>
      <c r="G22" s="8">
        <f t="shared" si="7"/>
        <v>3.819718634</v>
      </c>
      <c r="H22" s="6">
        <v>9.0</v>
      </c>
      <c r="I22" s="9">
        <v>520.0</v>
      </c>
      <c r="J22" s="10">
        <f t="shared" si="3"/>
        <v>0.438833989</v>
      </c>
      <c r="K22" s="8">
        <f t="shared" si="4"/>
        <v>0.01755335956</v>
      </c>
      <c r="L22" s="8">
        <f t="shared" si="5"/>
        <v>0.09127746971</v>
      </c>
      <c r="M22" s="8">
        <f t="shared" si="6"/>
        <v>0.5476648183</v>
      </c>
      <c r="N22" s="11"/>
      <c r="O22" s="11"/>
    </row>
    <row r="23" ht="22.5" customHeight="1">
      <c r="A23" s="6" t="s">
        <v>28</v>
      </c>
      <c r="B23" s="6" t="s">
        <v>56</v>
      </c>
      <c r="C23" s="7" t="s">
        <v>39</v>
      </c>
      <c r="D23" s="6">
        <v>5.0</v>
      </c>
      <c r="E23" s="6">
        <v>12.0</v>
      </c>
      <c r="F23" s="8">
        <f t="shared" si="1"/>
        <v>3.819718634</v>
      </c>
      <c r="G23" s="8">
        <f t="shared" si="7"/>
        <v>5.711811604</v>
      </c>
      <c r="H23" s="6">
        <v>9.0</v>
      </c>
      <c r="I23" s="9">
        <v>670.0</v>
      </c>
      <c r="J23" s="10">
        <f t="shared" si="3"/>
        <v>1.23261476</v>
      </c>
      <c r="K23" s="8">
        <f t="shared" si="4"/>
        <v>0.04930459039</v>
      </c>
      <c r="L23" s="8">
        <f t="shared" si="5"/>
        <v>0.25638387</v>
      </c>
      <c r="M23" s="8">
        <f t="shared" si="6"/>
        <v>1.53830322</v>
      </c>
      <c r="N23" s="11"/>
      <c r="O23" s="11"/>
    </row>
    <row r="24" ht="22.5" customHeight="1">
      <c r="A24" s="6" t="s">
        <v>19</v>
      </c>
      <c r="B24" s="6" t="s">
        <v>20</v>
      </c>
      <c r="C24" s="7" t="s">
        <v>21</v>
      </c>
      <c r="D24" s="6">
        <v>1.0</v>
      </c>
      <c r="E24" s="6">
        <v>14.0</v>
      </c>
      <c r="F24" s="8">
        <f t="shared" si="1"/>
        <v>4.456338407</v>
      </c>
      <c r="G24" s="8">
        <f t="shared" si="7"/>
        <v>4.456338407</v>
      </c>
      <c r="H24" s="6">
        <v>11.0</v>
      </c>
      <c r="I24" s="9">
        <v>520.0</v>
      </c>
      <c r="J24" s="10">
        <f t="shared" si="3"/>
        <v>0.7211721758</v>
      </c>
      <c r="K24" s="8">
        <f t="shared" si="4"/>
        <v>0.02884688703</v>
      </c>
      <c r="L24" s="8">
        <f t="shared" si="5"/>
        <v>0.1500038126</v>
      </c>
      <c r="M24" s="8">
        <f t="shared" si="6"/>
        <v>0.9000228754</v>
      </c>
      <c r="N24" s="11"/>
      <c r="O24" s="11"/>
    </row>
    <row r="25" ht="22.5" customHeight="1">
      <c r="A25" s="6" t="s">
        <v>19</v>
      </c>
      <c r="B25" s="6" t="s">
        <v>20</v>
      </c>
      <c r="C25" s="7" t="s">
        <v>21</v>
      </c>
      <c r="D25" s="6">
        <v>1.0</v>
      </c>
      <c r="E25" s="6">
        <v>14.0</v>
      </c>
      <c r="F25" s="8">
        <f t="shared" si="1"/>
        <v>4.456338407</v>
      </c>
      <c r="G25" s="8">
        <f t="shared" si="7"/>
        <v>4.456338407</v>
      </c>
      <c r="H25" s="6">
        <v>10.0</v>
      </c>
      <c r="I25" s="9">
        <v>520.0</v>
      </c>
      <c r="J25" s="10">
        <f t="shared" si="3"/>
        <v>0.6571124593</v>
      </c>
      <c r="K25" s="8">
        <f t="shared" si="4"/>
        <v>0.02628449837</v>
      </c>
      <c r="L25" s="8">
        <f t="shared" si="5"/>
        <v>0.1366793915</v>
      </c>
      <c r="M25" s="8">
        <f t="shared" si="6"/>
        <v>0.8200763491</v>
      </c>
      <c r="N25" s="11"/>
      <c r="O25" s="11"/>
    </row>
    <row r="26" ht="22.5" customHeight="1">
      <c r="A26" s="6" t="s">
        <v>28</v>
      </c>
      <c r="B26" s="6" t="s">
        <v>38</v>
      </c>
      <c r="C26" s="7" t="s">
        <v>39</v>
      </c>
      <c r="D26" s="6">
        <v>3.0</v>
      </c>
      <c r="E26" s="6">
        <v>14.0</v>
      </c>
      <c r="F26" s="8">
        <f t="shared" si="1"/>
        <v>4.456338407</v>
      </c>
      <c r="G26" s="8">
        <f t="shared" si="7"/>
        <v>5.86487117</v>
      </c>
      <c r="H26" s="6">
        <v>8.0</v>
      </c>
      <c r="I26" s="9">
        <v>670.0</v>
      </c>
      <c r="J26" s="10">
        <f t="shared" si="3"/>
        <v>1.156965598</v>
      </c>
      <c r="K26" s="8">
        <f t="shared" si="4"/>
        <v>0.04627862391</v>
      </c>
      <c r="L26" s="8">
        <f t="shared" si="5"/>
        <v>0.2406488443</v>
      </c>
      <c r="M26" s="8">
        <f t="shared" si="6"/>
        <v>1.443893066</v>
      </c>
      <c r="N26" s="11"/>
      <c r="O26" s="11"/>
    </row>
    <row r="27" ht="22.5" customHeight="1">
      <c r="A27" s="6" t="s">
        <v>29</v>
      </c>
      <c r="B27" s="6" t="s">
        <v>38</v>
      </c>
      <c r="C27" s="7" t="s">
        <v>39</v>
      </c>
      <c r="D27" s="6">
        <v>4.0</v>
      </c>
      <c r="E27" s="6">
        <v>14.0</v>
      </c>
      <c r="F27" s="8">
        <f t="shared" si="1"/>
        <v>4.456338407</v>
      </c>
      <c r="G27" s="8">
        <f t="shared" si="7"/>
        <v>6.302214213</v>
      </c>
      <c r="H27" s="6">
        <v>12.0</v>
      </c>
      <c r="I27" s="9">
        <v>670.0</v>
      </c>
      <c r="J27" s="10">
        <f t="shared" si="3"/>
        <v>1.977678161</v>
      </c>
      <c r="K27" s="8">
        <f t="shared" si="4"/>
        <v>0.07910712643</v>
      </c>
      <c r="L27" s="8">
        <f t="shared" si="5"/>
        <v>0.4113570574</v>
      </c>
      <c r="M27" s="8">
        <f t="shared" si="6"/>
        <v>2.468142345</v>
      </c>
      <c r="N27" s="11"/>
      <c r="O27" s="11"/>
    </row>
    <row r="28" ht="22.5" customHeight="1">
      <c r="A28" s="6" t="s">
        <v>19</v>
      </c>
      <c r="B28" s="6" t="s">
        <v>53</v>
      </c>
      <c r="C28" s="7" t="s">
        <v>34</v>
      </c>
      <c r="D28" s="6">
        <v>1.0</v>
      </c>
      <c r="E28" s="6">
        <v>15.0</v>
      </c>
      <c r="F28" s="8">
        <f t="shared" si="1"/>
        <v>4.774648293</v>
      </c>
      <c r="G28" s="8">
        <f t="shared" si="7"/>
        <v>4.774648293</v>
      </c>
      <c r="H28" s="6">
        <v>11.0</v>
      </c>
      <c r="I28" s="9">
        <v>520.0</v>
      </c>
      <c r="J28" s="10">
        <f t="shared" si="3"/>
        <v>0.8251391141</v>
      </c>
      <c r="K28" s="8">
        <f t="shared" si="4"/>
        <v>0.03300556457</v>
      </c>
      <c r="L28" s="8">
        <f t="shared" si="5"/>
        <v>0.1716289357</v>
      </c>
      <c r="M28" s="8">
        <f t="shared" si="6"/>
        <v>1.029773614</v>
      </c>
      <c r="N28" s="11"/>
      <c r="O28" s="11"/>
    </row>
    <row r="29" ht="22.5" customHeight="1">
      <c r="A29" s="6" t="s">
        <v>23</v>
      </c>
      <c r="B29" s="6" t="s">
        <v>57</v>
      </c>
      <c r="C29" s="7" t="s">
        <v>51</v>
      </c>
      <c r="D29" s="6">
        <v>3.0</v>
      </c>
      <c r="E29" s="6">
        <v>15.0</v>
      </c>
      <c r="F29" s="8">
        <f t="shared" si="1"/>
        <v>4.774648293</v>
      </c>
      <c r="G29" s="8">
        <f t="shared" si="7"/>
        <v>6.283790539</v>
      </c>
      <c r="H29" s="6">
        <v>12.0</v>
      </c>
      <c r="I29" s="9">
        <v>560.0</v>
      </c>
      <c r="J29" s="10">
        <f t="shared" si="3"/>
        <v>1.650654701</v>
      </c>
      <c r="K29" s="8">
        <f t="shared" si="4"/>
        <v>0.06602618806</v>
      </c>
      <c r="L29" s="8">
        <f t="shared" si="5"/>
        <v>0.3433361779</v>
      </c>
      <c r="M29" s="8">
        <f t="shared" si="6"/>
        <v>2.060017067</v>
      </c>
      <c r="N29" s="11"/>
      <c r="O29" s="11"/>
    </row>
    <row r="30" ht="22.5" customHeight="1">
      <c r="A30" s="6" t="s">
        <v>25</v>
      </c>
      <c r="B30" s="6" t="s">
        <v>58</v>
      </c>
      <c r="C30" s="7" t="s">
        <v>54</v>
      </c>
      <c r="D30" s="6">
        <v>1.0</v>
      </c>
      <c r="E30" s="6">
        <v>15.0</v>
      </c>
      <c r="F30" s="8">
        <f t="shared" si="1"/>
        <v>4.774648293</v>
      </c>
      <c r="G30" s="8">
        <f t="shared" si="7"/>
        <v>4.774648293</v>
      </c>
      <c r="H30" s="6">
        <v>11.0</v>
      </c>
      <c r="I30" s="9">
        <v>550.0</v>
      </c>
      <c r="J30" s="10">
        <f t="shared" si="3"/>
        <v>0.8715692433</v>
      </c>
      <c r="K30" s="8">
        <f t="shared" si="4"/>
        <v>0.03486276973</v>
      </c>
      <c r="L30" s="8">
        <f t="shared" si="5"/>
        <v>0.1812864026</v>
      </c>
      <c r="M30" s="8">
        <f t="shared" si="6"/>
        <v>1.087718416</v>
      </c>
      <c r="N30" s="11"/>
      <c r="O30" s="11"/>
    </row>
    <row r="31" ht="22.5" customHeight="1">
      <c r="A31" s="6" t="s">
        <v>27</v>
      </c>
      <c r="B31" s="6" t="s">
        <v>59</v>
      </c>
      <c r="C31" s="7" t="s">
        <v>36</v>
      </c>
      <c r="D31" s="6">
        <v>2.0</v>
      </c>
      <c r="E31" s="6">
        <v>16.0</v>
      </c>
      <c r="F31" s="8">
        <f t="shared" si="1"/>
        <v>5.092958179</v>
      </c>
      <c r="G31" s="8">
        <f t="shared" si="7"/>
        <v>6.056582103</v>
      </c>
      <c r="H31" s="6">
        <v>9.0</v>
      </c>
      <c r="I31" s="9">
        <v>690.0</v>
      </c>
      <c r="J31" s="10">
        <f t="shared" si="3"/>
        <v>1.422265772</v>
      </c>
      <c r="K31" s="8">
        <f t="shared" si="4"/>
        <v>0.05689063088</v>
      </c>
      <c r="L31" s="8">
        <f t="shared" si="5"/>
        <v>0.2958312806</v>
      </c>
      <c r="M31" s="8">
        <f t="shared" si="6"/>
        <v>1.774987684</v>
      </c>
      <c r="N31" s="11"/>
      <c r="O31" s="11"/>
    </row>
    <row r="32" ht="22.5" customHeight="1">
      <c r="A32" s="6" t="s">
        <v>31</v>
      </c>
      <c r="B32" s="6" t="s">
        <v>44</v>
      </c>
      <c r="C32" s="7" t="s">
        <v>37</v>
      </c>
      <c r="D32" s="6">
        <v>30.0</v>
      </c>
      <c r="E32" s="6">
        <v>16.0</v>
      </c>
      <c r="F32" s="8">
        <f t="shared" si="1"/>
        <v>5.092958179</v>
      </c>
      <c r="G32" s="8">
        <f>(E32/PI())</f>
        <v>5.092958179</v>
      </c>
      <c r="H32" s="6">
        <v>14.0</v>
      </c>
      <c r="I32" s="9">
        <v>600.0</v>
      </c>
      <c r="J32" s="10">
        <f t="shared" si="3"/>
        <v>1.361812456</v>
      </c>
      <c r="K32" s="8">
        <f t="shared" si="4"/>
        <v>0.05447249822</v>
      </c>
      <c r="L32" s="8">
        <f t="shared" si="5"/>
        <v>0.2832569908</v>
      </c>
      <c r="M32" s="8">
        <f t="shared" si="6"/>
        <v>1.699541945</v>
      </c>
      <c r="N32" s="11"/>
      <c r="O32" s="11"/>
    </row>
    <row r="33" ht="22.5" customHeight="1">
      <c r="A33" s="6" t="s">
        <v>23</v>
      </c>
      <c r="B33" s="6" t="s">
        <v>58</v>
      </c>
      <c r="C33" s="7" t="s">
        <v>54</v>
      </c>
      <c r="D33" s="6">
        <v>1.0</v>
      </c>
      <c r="E33" s="6">
        <v>16.0</v>
      </c>
      <c r="F33" s="8">
        <f t="shared" si="1"/>
        <v>5.092958179</v>
      </c>
      <c r="G33" s="8">
        <f t="shared" ref="G33:G229" si="8">(sqrt(SQRT(D33))*E33/PI())</f>
        <v>5.092958179</v>
      </c>
      <c r="H33" s="6">
        <v>8.0</v>
      </c>
      <c r="I33" s="9">
        <v>550.0</v>
      </c>
      <c r="J33" s="10">
        <f t="shared" si="3"/>
        <v>0.7244868901</v>
      </c>
      <c r="K33" s="8">
        <f t="shared" si="4"/>
        <v>0.0289794756</v>
      </c>
      <c r="L33" s="8">
        <f t="shared" si="5"/>
        <v>0.1506932731</v>
      </c>
      <c r="M33" s="8">
        <f t="shared" si="6"/>
        <v>0.9041596388</v>
      </c>
      <c r="N33" s="11"/>
      <c r="O33" s="11"/>
    </row>
    <row r="34" ht="22.5" customHeight="1">
      <c r="A34" s="6" t="s">
        <v>25</v>
      </c>
      <c r="B34" s="6" t="s">
        <v>59</v>
      </c>
      <c r="C34" s="7" t="s">
        <v>36</v>
      </c>
      <c r="D34" s="6">
        <v>2.0</v>
      </c>
      <c r="E34" s="6">
        <v>18.0</v>
      </c>
      <c r="F34" s="8">
        <f t="shared" si="1"/>
        <v>5.729577951</v>
      </c>
      <c r="G34" s="8">
        <f t="shared" si="8"/>
        <v>6.813654866</v>
      </c>
      <c r="H34" s="6">
        <v>9.0</v>
      </c>
      <c r="I34" s="9">
        <v>690.0</v>
      </c>
      <c r="J34" s="10">
        <f t="shared" si="3"/>
        <v>1.789907065</v>
      </c>
      <c r="K34" s="8">
        <f t="shared" si="4"/>
        <v>0.07159628261</v>
      </c>
      <c r="L34" s="8">
        <f t="shared" si="5"/>
        <v>0.3723006696</v>
      </c>
      <c r="M34" s="8">
        <f t="shared" si="6"/>
        <v>2.233804018</v>
      </c>
      <c r="N34" s="11"/>
      <c r="O34" s="11"/>
    </row>
    <row r="35" ht="22.5" customHeight="1">
      <c r="A35" s="6" t="s">
        <v>19</v>
      </c>
      <c r="B35" s="6" t="s">
        <v>60</v>
      </c>
      <c r="C35" s="7" t="s">
        <v>45</v>
      </c>
      <c r="D35" s="6">
        <v>1.0</v>
      </c>
      <c r="E35" s="6">
        <v>18.0</v>
      </c>
      <c r="F35" s="8">
        <f t="shared" si="1"/>
        <v>5.729577951</v>
      </c>
      <c r="G35" s="8">
        <f t="shared" si="8"/>
        <v>5.729577951</v>
      </c>
      <c r="H35" s="6">
        <v>8.0</v>
      </c>
      <c r="I35" s="9">
        <v>400.0</v>
      </c>
      <c r="J35" s="10">
        <f t="shared" si="3"/>
        <v>0.6681851531</v>
      </c>
      <c r="K35" s="8">
        <f t="shared" si="4"/>
        <v>0.02672740613</v>
      </c>
      <c r="L35" s="8">
        <f t="shared" si="5"/>
        <v>0.1389825119</v>
      </c>
      <c r="M35" s="8">
        <f t="shared" si="6"/>
        <v>0.8338950711</v>
      </c>
      <c r="N35" s="11"/>
      <c r="O35" s="11"/>
    </row>
    <row r="36" ht="22.5" customHeight="1">
      <c r="A36" s="6" t="s">
        <v>25</v>
      </c>
      <c r="B36" s="6" t="s">
        <v>33</v>
      </c>
      <c r="C36" s="7" t="s">
        <v>34</v>
      </c>
      <c r="D36" s="6">
        <v>2.0</v>
      </c>
      <c r="E36" s="6">
        <v>18.0</v>
      </c>
      <c r="F36" s="8">
        <f t="shared" si="1"/>
        <v>5.729577951</v>
      </c>
      <c r="G36" s="8">
        <f t="shared" si="8"/>
        <v>6.813654866</v>
      </c>
      <c r="H36" s="6">
        <v>12.0</v>
      </c>
      <c r="I36" s="9">
        <v>520.0</v>
      </c>
      <c r="J36" s="10">
        <f t="shared" si="3"/>
        <v>1.798345945</v>
      </c>
      <c r="K36" s="8">
        <f t="shared" si="4"/>
        <v>0.07193383782</v>
      </c>
      <c r="L36" s="8">
        <f t="shared" si="5"/>
        <v>0.3740559567</v>
      </c>
      <c r="M36" s="8">
        <f t="shared" si="6"/>
        <v>2.24433574</v>
      </c>
      <c r="N36" s="11"/>
      <c r="O36" s="11"/>
    </row>
    <row r="37" ht="22.5" customHeight="1">
      <c r="A37" s="6" t="s">
        <v>25</v>
      </c>
      <c r="B37" s="6" t="s">
        <v>61</v>
      </c>
      <c r="C37" s="7" t="s">
        <v>34</v>
      </c>
      <c r="D37" s="6">
        <v>2.0</v>
      </c>
      <c r="E37" s="6">
        <v>18.0</v>
      </c>
      <c r="F37" s="8">
        <f t="shared" si="1"/>
        <v>5.729577951</v>
      </c>
      <c r="G37" s="8">
        <f t="shared" si="8"/>
        <v>6.813654866</v>
      </c>
      <c r="H37" s="6">
        <v>11.0</v>
      </c>
      <c r="I37" s="9">
        <v>520.0</v>
      </c>
      <c r="J37" s="10">
        <f t="shared" si="3"/>
        <v>1.651929865</v>
      </c>
      <c r="K37" s="8">
        <f t="shared" si="4"/>
        <v>0.06607719458</v>
      </c>
      <c r="L37" s="8">
        <f t="shared" si="5"/>
        <v>0.3436014118</v>
      </c>
      <c r="M37" s="8">
        <f t="shared" si="6"/>
        <v>2.061608471</v>
      </c>
      <c r="N37" s="11"/>
      <c r="O37" s="11"/>
    </row>
    <row r="38" ht="22.5" customHeight="1">
      <c r="A38" s="6" t="s">
        <v>19</v>
      </c>
      <c r="B38" s="6" t="s">
        <v>62</v>
      </c>
      <c r="C38" s="7" t="s">
        <v>47</v>
      </c>
      <c r="D38" s="6">
        <v>1.0</v>
      </c>
      <c r="E38" s="6">
        <v>18.0</v>
      </c>
      <c r="F38" s="8">
        <f t="shared" si="1"/>
        <v>5.729577951</v>
      </c>
      <c r="G38" s="8">
        <f t="shared" si="8"/>
        <v>5.729577951</v>
      </c>
      <c r="H38" s="6">
        <v>8.0</v>
      </c>
      <c r="I38" s="9">
        <v>820.0</v>
      </c>
      <c r="J38" s="10">
        <f t="shared" si="3"/>
        <v>1.346382909</v>
      </c>
      <c r="K38" s="8">
        <f t="shared" si="4"/>
        <v>0.05385531634</v>
      </c>
      <c r="L38" s="8">
        <f t="shared" si="5"/>
        <v>0.280047645</v>
      </c>
      <c r="M38" s="8">
        <f t="shared" si="6"/>
        <v>1.68028587</v>
      </c>
      <c r="N38" s="11"/>
      <c r="O38" s="11"/>
    </row>
    <row r="39" ht="22.5" customHeight="1">
      <c r="A39" s="6" t="s">
        <v>31</v>
      </c>
      <c r="B39" s="6" t="s">
        <v>63</v>
      </c>
      <c r="C39" s="7" t="s">
        <v>48</v>
      </c>
      <c r="D39" s="6">
        <v>3.0</v>
      </c>
      <c r="E39" s="6">
        <v>18.0</v>
      </c>
      <c r="F39" s="8">
        <f t="shared" si="1"/>
        <v>5.729577951</v>
      </c>
      <c r="G39" s="8">
        <f t="shared" si="8"/>
        <v>7.540548647</v>
      </c>
      <c r="H39" s="6">
        <v>8.0</v>
      </c>
      <c r="I39" s="9">
        <v>550.0</v>
      </c>
      <c r="J39" s="10">
        <f t="shared" si="3"/>
        <v>1.558530936</v>
      </c>
      <c r="K39" s="8">
        <f t="shared" si="4"/>
        <v>0.06234123744</v>
      </c>
      <c r="L39" s="8">
        <f t="shared" si="5"/>
        <v>0.3241744347</v>
      </c>
      <c r="M39" s="8">
        <f t="shared" si="6"/>
        <v>1.945046608</v>
      </c>
      <c r="N39" s="11"/>
      <c r="O39" s="11"/>
    </row>
    <row r="40" ht="22.5" customHeight="1">
      <c r="A40" s="6" t="s">
        <v>23</v>
      </c>
      <c r="B40" s="6" t="s">
        <v>64</v>
      </c>
      <c r="C40" s="7" t="s">
        <v>48</v>
      </c>
      <c r="D40" s="6">
        <v>4.0</v>
      </c>
      <c r="E40" s="6">
        <v>18.0</v>
      </c>
      <c r="F40" s="8">
        <f t="shared" si="1"/>
        <v>5.729577951</v>
      </c>
      <c r="G40" s="8">
        <f t="shared" si="8"/>
        <v>8.102846845</v>
      </c>
      <c r="H40" s="6">
        <v>6.0</v>
      </c>
      <c r="I40" s="9">
        <v>550.0</v>
      </c>
      <c r="J40" s="10">
        <f t="shared" si="3"/>
        <v>1.354394944</v>
      </c>
      <c r="K40" s="8">
        <f t="shared" si="4"/>
        <v>0.05417579775</v>
      </c>
      <c r="L40" s="8">
        <f t="shared" si="5"/>
        <v>0.2817141483</v>
      </c>
      <c r="M40" s="8">
        <f t="shared" si="6"/>
        <v>1.69028489</v>
      </c>
      <c r="N40" s="11"/>
      <c r="O40" s="11"/>
    </row>
    <row r="41" ht="22.5" customHeight="1">
      <c r="A41" s="6" t="s">
        <v>19</v>
      </c>
      <c r="B41" s="6" t="s">
        <v>20</v>
      </c>
      <c r="C41" s="7" t="s">
        <v>21</v>
      </c>
      <c r="D41" s="6">
        <v>1.0</v>
      </c>
      <c r="E41" s="6">
        <v>18.0</v>
      </c>
      <c r="F41" s="8">
        <f t="shared" si="1"/>
        <v>5.729577951</v>
      </c>
      <c r="G41" s="8">
        <f t="shared" si="8"/>
        <v>5.729577951</v>
      </c>
      <c r="H41" s="6">
        <v>13.0</v>
      </c>
      <c r="I41" s="9">
        <v>520.0</v>
      </c>
      <c r="J41" s="10">
        <f t="shared" si="3"/>
        <v>1.386431503</v>
      </c>
      <c r="K41" s="8">
        <f t="shared" si="4"/>
        <v>0.05545726011</v>
      </c>
      <c r="L41" s="8">
        <f t="shared" si="5"/>
        <v>0.2883777526</v>
      </c>
      <c r="M41" s="8">
        <f t="shared" si="6"/>
        <v>1.730266515</v>
      </c>
      <c r="N41" s="11"/>
      <c r="O41" s="11"/>
    </row>
    <row r="42" ht="22.5" customHeight="1">
      <c r="A42" s="6" t="s">
        <v>19</v>
      </c>
      <c r="B42" s="6" t="s">
        <v>20</v>
      </c>
      <c r="C42" s="7" t="s">
        <v>21</v>
      </c>
      <c r="D42" s="6">
        <v>1.0</v>
      </c>
      <c r="E42" s="6">
        <v>18.0</v>
      </c>
      <c r="F42" s="8">
        <f t="shared" si="1"/>
        <v>5.729577951</v>
      </c>
      <c r="G42" s="8">
        <f t="shared" si="8"/>
        <v>5.729577951</v>
      </c>
      <c r="H42" s="6">
        <v>8.0</v>
      </c>
      <c r="I42" s="9">
        <v>520.0</v>
      </c>
      <c r="J42" s="10">
        <f t="shared" si="3"/>
        <v>0.8631882767</v>
      </c>
      <c r="K42" s="8">
        <f t="shared" si="4"/>
        <v>0.03452753107</v>
      </c>
      <c r="L42" s="8">
        <f t="shared" si="5"/>
        <v>0.1795431615</v>
      </c>
      <c r="M42" s="8">
        <f t="shared" si="6"/>
        <v>1.077258969</v>
      </c>
      <c r="N42" s="11"/>
      <c r="O42" s="11"/>
    </row>
    <row r="43" ht="22.5" customHeight="1">
      <c r="A43" s="6" t="s">
        <v>23</v>
      </c>
      <c r="B43" s="6" t="s">
        <v>38</v>
      </c>
      <c r="C43" s="7" t="s">
        <v>39</v>
      </c>
      <c r="D43" s="6">
        <v>6.0</v>
      </c>
      <c r="E43" s="6">
        <v>18.0</v>
      </c>
      <c r="F43" s="8">
        <f t="shared" si="1"/>
        <v>5.729577951</v>
      </c>
      <c r="G43" s="8">
        <f t="shared" si="8"/>
        <v>8.967274102</v>
      </c>
      <c r="H43" s="6">
        <v>12.0</v>
      </c>
      <c r="I43" s="9">
        <v>670.0</v>
      </c>
      <c r="J43" s="10">
        <f t="shared" si="3"/>
        <v>3.936752903</v>
      </c>
      <c r="K43" s="8">
        <f t="shared" si="4"/>
        <v>0.1574701161</v>
      </c>
      <c r="L43" s="8">
        <f t="shared" si="5"/>
        <v>0.8188446039</v>
      </c>
      <c r="M43" s="8">
        <f t="shared" si="6"/>
        <v>4.913067623</v>
      </c>
      <c r="N43" s="11"/>
      <c r="O43" s="11"/>
    </row>
    <row r="44" ht="22.5" customHeight="1">
      <c r="A44" s="6" t="s">
        <v>23</v>
      </c>
      <c r="B44" s="6" t="s">
        <v>38</v>
      </c>
      <c r="C44" s="7" t="s">
        <v>39</v>
      </c>
      <c r="D44" s="6">
        <v>6.0</v>
      </c>
      <c r="E44" s="6">
        <v>18.0</v>
      </c>
      <c r="F44" s="8">
        <f t="shared" si="1"/>
        <v>5.729577951</v>
      </c>
      <c r="G44" s="8">
        <f t="shared" si="8"/>
        <v>8.967274102</v>
      </c>
      <c r="H44" s="6">
        <v>10.0</v>
      </c>
      <c r="I44" s="9">
        <v>670.0</v>
      </c>
      <c r="J44" s="10">
        <f t="shared" si="3"/>
        <v>3.295013971</v>
      </c>
      <c r="K44" s="8">
        <f t="shared" si="4"/>
        <v>0.1318005588</v>
      </c>
      <c r="L44" s="8">
        <f t="shared" si="5"/>
        <v>0.6853629059</v>
      </c>
      <c r="M44" s="8">
        <f t="shared" si="6"/>
        <v>4.112177435</v>
      </c>
      <c r="N44" s="11"/>
      <c r="O44" s="11"/>
    </row>
    <row r="45" ht="22.5" customHeight="1">
      <c r="A45" s="6" t="s">
        <v>19</v>
      </c>
      <c r="B45" s="6" t="s">
        <v>59</v>
      </c>
      <c r="C45" s="7" t="s">
        <v>36</v>
      </c>
      <c r="D45" s="6">
        <v>1.0</v>
      </c>
      <c r="E45" s="6">
        <v>19.0</v>
      </c>
      <c r="F45" s="8">
        <f t="shared" si="1"/>
        <v>6.047887837</v>
      </c>
      <c r="G45" s="8">
        <f t="shared" si="8"/>
        <v>6.047887837</v>
      </c>
      <c r="H45" s="6">
        <v>8.0</v>
      </c>
      <c r="I45" s="9">
        <v>690.0</v>
      </c>
      <c r="J45" s="10">
        <f t="shared" si="3"/>
        <v>1.264264903</v>
      </c>
      <c r="K45" s="8">
        <f t="shared" si="4"/>
        <v>0.05057059611</v>
      </c>
      <c r="L45" s="8">
        <f t="shared" si="5"/>
        <v>0.2629670998</v>
      </c>
      <c r="M45" s="8">
        <f t="shared" si="6"/>
        <v>1.577802599</v>
      </c>
      <c r="N45" s="11"/>
      <c r="O45" s="11"/>
    </row>
    <row r="46" ht="22.5" customHeight="1">
      <c r="A46" s="6" t="s">
        <v>25</v>
      </c>
      <c r="B46" s="6" t="s">
        <v>59</v>
      </c>
      <c r="C46" s="7" t="s">
        <v>36</v>
      </c>
      <c r="D46" s="6">
        <v>2.0</v>
      </c>
      <c r="E46" s="6">
        <v>19.0</v>
      </c>
      <c r="F46" s="8">
        <f t="shared" si="1"/>
        <v>6.047887837</v>
      </c>
      <c r="G46" s="8">
        <f t="shared" si="8"/>
        <v>7.192191247</v>
      </c>
      <c r="H46" s="6">
        <v>10.0</v>
      </c>
      <c r="I46" s="9">
        <v>690.0</v>
      </c>
      <c r="J46" s="10">
        <f t="shared" si="3"/>
        <v>2.204575071</v>
      </c>
      <c r="K46" s="8">
        <f t="shared" si="4"/>
        <v>0.08818300285</v>
      </c>
      <c r="L46" s="8">
        <f t="shared" si="5"/>
        <v>0.4585516148</v>
      </c>
      <c r="M46" s="8">
        <f t="shared" si="6"/>
        <v>2.751309689</v>
      </c>
      <c r="N46" s="11"/>
      <c r="O46" s="11"/>
    </row>
    <row r="47" ht="22.5" customHeight="1">
      <c r="A47" s="6" t="s">
        <v>28</v>
      </c>
      <c r="B47" s="6" t="s">
        <v>33</v>
      </c>
      <c r="C47" s="7" t="s">
        <v>34</v>
      </c>
      <c r="D47" s="6">
        <v>2.0</v>
      </c>
      <c r="E47" s="6">
        <v>19.0</v>
      </c>
      <c r="F47" s="8">
        <f t="shared" si="1"/>
        <v>6.047887837</v>
      </c>
      <c r="G47" s="8">
        <f t="shared" si="8"/>
        <v>7.192191247</v>
      </c>
      <c r="H47" s="6">
        <v>11.0</v>
      </c>
      <c r="I47" s="9">
        <v>520.0</v>
      </c>
      <c r="J47" s="10">
        <f t="shared" si="3"/>
        <v>1.835805657</v>
      </c>
      <c r="K47" s="8">
        <f t="shared" si="4"/>
        <v>0.07343222628</v>
      </c>
      <c r="L47" s="8">
        <f t="shared" si="5"/>
        <v>0.3818475766</v>
      </c>
      <c r="M47" s="8">
        <f t="shared" si="6"/>
        <v>2.29108546</v>
      </c>
      <c r="N47" s="11"/>
      <c r="O47" s="11"/>
    </row>
    <row r="48" ht="22.5" customHeight="1">
      <c r="A48" s="6" t="s">
        <v>19</v>
      </c>
      <c r="B48" s="6" t="s">
        <v>20</v>
      </c>
      <c r="C48" s="7" t="s">
        <v>21</v>
      </c>
      <c r="D48" s="6">
        <v>1.0</v>
      </c>
      <c r="E48" s="6">
        <v>19.0</v>
      </c>
      <c r="F48" s="8">
        <f t="shared" si="1"/>
        <v>6.047887837</v>
      </c>
      <c r="G48" s="8">
        <f t="shared" si="8"/>
        <v>6.047887837</v>
      </c>
      <c r="H48" s="6">
        <v>8.0</v>
      </c>
      <c r="I48" s="9">
        <v>520.0</v>
      </c>
      <c r="J48" s="10">
        <f t="shared" si="3"/>
        <v>0.9592694916</v>
      </c>
      <c r="K48" s="8">
        <f t="shared" si="4"/>
        <v>0.03837077966</v>
      </c>
      <c r="L48" s="8">
        <f t="shared" si="5"/>
        <v>0.1995280543</v>
      </c>
      <c r="M48" s="8">
        <f t="shared" si="6"/>
        <v>1.197168326</v>
      </c>
      <c r="N48" s="11"/>
      <c r="O48" s="11"/>
    </row>
    <row r="49" ht="22.5" customHeight="1">
      <c r="A49" s="6" t="s">
        <v>19</v>
      </c>
      <c r="B49" s="6" t="s">
        <v>58</v>
      </c>
      <c r="C49" s="7" t="s">
        <v>54</v>
      </c>
      <c r="D49" s="6">
        <v>1.0</v>
      </c>
      <c r="E49" s="6">
        <v>19.0</v>
      </c>
      <c r="F49" s="8">
        <f t="shared" si="1"/>
        <v>6.047887837</v>
      </c>
      <c r="G49" s="8">
        <f t="shared" si="8"/>
        <v>6.047887837</v>
      </c>
      <c r="H49" s="6">
        <v>9.0</v>
      </c>
      <c r="I49" s="9">
        <v>550.0</v>
      </c>
      <c r="J49" s="10">
        <f t="shared" si="3"/>
        <v>1.136685228</v>
      </c>
      <c r="K49" s="8">
        <f t="shared" si="4"/>
        <v>0.04546740911</v>
      </c>
      <c r="L49" s="8">
        <f t="shared" si="5"/>
        <v>0.2364305274</v>
      </c>
      <c r="M49" s="8">
        <f t="shared" si="6"/>
        <v>1.418583164</v>
      </c>
      <c r="N49" s="11"/>
      <c r="O49" s="11"/>
    </row>
    <row r="50" ht="22.5" customHeight="1">
      <c r="A50" s="6" t="s">
        <v>19</v>
      </c>
      <c r="B50" s="6" t="s">
        <v>20</v>
      </c>
      <c r="C50" s="7" t="s">
        <v>21</v>
      </c>
      <c r="D50" s="6">
        <v>1.0</v>
      </c>
      <c r="E50" s="6">
        <v>22.0</v>
      </c>
      <c r="F50" s="8">
        <f t="shared" si="1"/>
        <v>7.002817496</v>
      </c>
      <c r="G50" s="8">
        <f t="shared" si="8"/>
        <v>7.002817496</v>
      </c>
      <c r="H50" s="6">
        <v>14.0</v>
      </c>
      <c r="I50" s="9">
        <v>520.0</v>
      </c>
      <c r="J50" s="10">
        <f t="shared" si="3"/>
        <v>2.205097576</v>
      </c>
      <c r="K50" s="8">
        <f t="shared" si="4"/>
        <v>0.08820390305</v>
      </c>
      <c r="L50" s="8">
        <f t="shared" si="5"/>
        <v>0.4586602959</v>
      </c>
      <c r="M50" s="8">
        <f t="shared" si="6"/>
        <v>2.751961775</v>
      </c>
      <c r="N50" s="11"/>
      <c r="O50" s="11"/>
    </row>
    <row r="51" ht="22.5" customHeight="1">
      <c r="A51" s="6" t="s">
        <v>19</v>
      </c>
      <c r="B51" s="6" t="s">
        <v>20</v>
      </c>
      <c r="C51" s="7" t="s">
        <v>21</v>
      </c>
      <c r="D51" s="6">
        <v>1.0</v>
      </c>
      <c r="E51" s="6">
        <v>22.0</v>
      </c>
      <c r="F51" s="8">
        <f t="shared" si="1"/>
        <v>7.002817496</v>
      </c>
      <c r="G51" s="8">
        <f t="shared" si="8"/>
        <v>7.002817496</v>
      </c>
      <c r="H51" s="6">
        <v>12.0</v>
      </c>
      <c r="I51" s="9">
        <v>520.0</v>
      </c>
      <c r="J51" s="10">
        <f t="shared" si="3"/>
        <v>1.897089172</v>
      </c>
      <c r="K51" s="8">
        <f t="shared" si="4"/>
        <v>0.07588356688</v>
      </c>
      <c r="L51" s="8">
        <f t="shared" si="5"/>
        <v>0.3945945478</v>
      </c>
      <c r="M51" s="8">
        <f t="shared" si="6"/>
        <v>2.367567287</v>
      </c>
      <c r="N51" s="11"/>
      <c r="O51" s="11"/>
    </row>
    <row r="52" ht="22.5" customHeight="1">
      <c r="A52" s="6" t="s">
        <v>19</v>
      </c>
      <c r="B52" s="6" t="s">
        <v>20</v>
      </c>
      <c r="C52" s="7" t="s">
        <v>21</v>
      </c>
      <c r="D52" s="6">
        <v>1.0</v>
      </c>
      <c r="E52" s="6">
        <v>22.0</v>
      </c>
      <c r="F52" s="8">
        <f t="shared" si="1"/>
        <v>7.002817496</v>
      </c>
      <c r="G52" s="8">
        <f t="shared" si="8"/>
        <v>7.002817496</v>
      </c>
      <c r="H52" s="6">
        <v>14.0</v>
      </c>
      <c r="I52" s="9">
        <v>520.0</v>
      </c>
      <c r="J52" s="10">
        <f t="shared" si="3"/>
        <v>2.205097576</v>
      </c>
      <c r="K52" s="8">
        <f t="shared" si="4"/>
        <v>0.08820390305</v>
      </c>
      <c r="L52" s="8">
        <f t="shared" si="5"/>
        <v>0.4586602959</v>
      </c>
      <c r="M52" s="8">
        <f t="shared" si="6"/>
        <v>2.751961775</v>
      </c>
      <c r="N52" s="11"/>
      <c r="O52" s="11"/>
    </row>
    <row r="53" ht="22.5" customHeight="1">
      <c r="A53" s="6" t="s">
        <v>19</v>
      </c>
      <c r="B53" s="6" t="s">
        <v>20</v>
      </c>
      <c r="C53" s="7" t="s">
        <v>21</v>
      </c>
      <c r="D53" s="6">
        <v>1.0</v>
      </c>
      <c r="E53" s="6">
        <v>22.0</v>
      </c>
      <c r="F53" s="8">
        <f t="shared" si="1"/>
        <v>7.002817496</v>
      </c>
      <c r="G53" s="8">
        <f t="shared" si="8"/>
        <v>7.002817496</v>
      </c>
      <c r="H53" s="6">
        <v>12.0</v>
      </c>
      <c r="I53" s="9">
        <v>520.0</v>
      </c>
      <c r="J53" s="10">
        <f t="shared" si="3"/>
        <v>1.897089172</v>
      </c>
      <c r="K53" s="8">
        <f t="shared" si="4"/>
        <v>0.07588356688</v>
      </c>
      <c r="L53" s="8">
        <f t="shared" si="5"/>
        <v>0.3945945478</v>
      </c>
      <c r="M53" s="8">
        <f t="shared" si="6"/>
        <v>2.367567287</v>
      </c>
      <c r="N53" s="11"/>
      <c r="O53" s="11"/>
    </row>
    <row r="54" ht="22.5" customHeight="1">
      <c r="A54" s="6" t="s">
        <v>25</v>
      </c>
      <c r="B54" s="6" t="s">
        <v>58</v>
      </c>
      <c r="C54" s="7" t="s">
        <v>54</v>
      </c>
      <c r="D54" s="6">
        <v>1.0</v>
      </c>
      <c r="E54" s="6">
        <v>22.0</v>
      </c>
      <c r="F54" s="8">
        <f t="shared" si="1"/>
        <v>7.002817496</v>
      </c>
      <c r="G54" s="8">
        <f t="shared" si="8"/>
        <v>7.002817496</v>
      </c>
      <c r="H54" s="6">
        <v>9.0</v>
      </c>
      <c r="I54" s="9">
        <v>550.0</v>
      </c>
      <c r="J54" s="10">
        <f t="shared" si="3"/>
        <v>1.51329034</v>
      </c>
      <c r="K54" s="8">
        <f t="shared" si="4"/>
        <v>0.06053161361</v>
      </c>
      <c r="L54" s="8">
        <f t="shared" si="5"/>
        <v>0.3147643908</v>
      </c>
      <c r="M54" s="8">
        <f t="shared" si="6"/>
        <v>1.888586345</v>
      </c>
      <c r="N54" s="11"/>
      <c r="O54" s="11"/>
    </row>
    <row r="55" ht="22.5" customHeight="1">
      <c r="A55" s="6" t="s">
        <v>26</v>
      </c>
      <c r="B55" s="6" t="s">
        <v>42</v>
      </c>
      <c r="C55" s="7" t="s">
        <v>22</v>
      </c>
      <c r="D55" s="6">
        <v>2.0</v>
      </c>
      <c r="E55" s="6">
        <v>23.0</v>
      </c>
      <c r="F55" s="8">
        <f t="shared" si="1"/>
        <v>7.321127382</v>
      </c>
      <c r="G55" s="8">
        <f t="shared" si="8"/>
        <v>8.706336773</v>
      </c>
      <c r="H55" s="6">
        <v>6.0</v>
      </c>
      <c r="I55" s="9">
        <v>540.0</v>
      </c>
      <c r="J55" s="10">
        <f t="shared" si="3"/>
        <v>1.530614476</v>
      </c>
      <c r="K55" s="8">
        <f t="shared" si="4"/>
        <v>0.06122457905</v>
      </c>
      <c r="L55" s="8">
        <f t="shared" si="5"/>
        <v>0.3183678111</v>
      </c>
      <c r="M55" s="8">
        <f t="shared" si="6"/>
        <v>1.910206866</v>
      </c>
      <c r="N55" s="11"/>
      <c r="O55" s="11"/>
    </row>
    <row r="56" ht="22.5" customHeight="1">
      <c r="A56" s="6" t="s">
        <v>19</v>
      </c>
      <c r="B56" s="6" t="s">
        <v>20</v>
      </c>
      <c r="C56" s="7" t="s">
        <v>21</v>
      </c>
      <c r="D56" s="6">
        <v>1.0</v>
      </c>
      <c r="E56" s="6">
        <v>23.0</v>
      </c>
      <c r="F56" s="8">
        <f t="shared" si="1"/>
        <v>7.321127382</v>
      </c>
      <c r="G56" s="8">
        <f t="shared" si="8"/>
        <v>7.321127382</v>
      </c>
      <c r="H56" s="6">
        <v>14.0</v>
      </c>
      <c r="I56" s="9">
        <v>520.0</v>
      </c>
      <c r="J56" s="10">
        <f t="shared" si="3"/>
        <v>2.404980032</v>
      </c>
      <c r="K56" s="8">
        <f t="shared" si="4"/>
        <v>0.09619920127</v>
      </c>
      <c r="L56" s="8">
        <f t="shared" si="5"/>
        <v>0.5002358466</v>
      </c>
      <c r="M56" s="8">
        <f t="shared" si="6"/>
        <v>3.00141508</v>
      </c>
      <c r="N56" s="11"/>
      <c r="O56" s="11"/>
    </row>
    <row r="57" ht="22.5" customHeight="1">
      <c r="A57" s="6" t="s">
        <v>19</v>
      </c>
      <c r="B57" s="6" t="s">
        <v>20</v>
      </c>
      <c r="C57" s="7" t="s">
        <v>21</v>
      </c>
      <c r="D57" s="6">
        <v>1.0</v>
      </c>
      <c r="E57" s="6">
        <v>23.0</v>
      </c>
      <c r="F57" s="8">
        <f t="shared" si="1"/>
        <v>7.321127382</v>
      </c>
      <c r="G57" s="8">
        <f t="shared" si="8"/>
        <v>7.321127382</v>
      </c>
      <c r="H57" s="6">
        <v>10.0</v>
      </c>
      <c r="I57" s="9">
        <v>520.0</v>
      </c>
      <c r="J57" s="10">
        <f t="shared" si="3"/>
        <v>1.731771197</v>
      </c>
      <c r="K57" s="8">
        <f t="shared" si="4"/>
        <v>0.06927084786</v>
      </c>
      <c r="L57" s="8">
        <f t="shared" si="5"/>
        <v>0.3602084089</v>
      </c>
      <c r="M57" s="8">
        <f t="shared" si="6"/>
        <v>2.161250453</v>
      </c>
      <c r="N57" s="11"/>
      <c r="O57" s="11"/>
    </row>
    <row r="58" ht="22.5" customHeight="1">
      <c r="A58" s="6" t="s">
        <v>19</v>
      </c>
      <c r="B58" s="6" t="s">
        <v>20</v>
      </c>
      <c r="C58" s="7" t="s">
        <v>21</v>
      </c>
      <c r="D58" s="6">
        <v>1.0</v>
      </c>
      <c r="E58" s="6">
        <v>23.0</v>
      </c>
      <c r="F58" s="8">
        <f t="shared" si="1"/>
        <v>7.321127382</v>
      </c>
      <c r="G58" s="8">
        <f t="shared" si="8"/>
        <v>7.321127382</v>
      </c>
      <c r="H58" s="6">
        <v>11.0</v>
      </c>
      <c r="I58" s="9">
        <v>520.0</v>
      </c>
      <c r="J58" s="10">
        <f t="shared" si="3"/>
        <v>1.900595833</v>
      </c>
      <c r="K58" s="8">
        <f t="shared" si="4"/>
        <v>0.07602383332</v>
      </c>
      <c r="L58" s="8">
        <f t="shared" si="5"/>
        <v>0.3953239332</v>
      </c>
      <c r="M58" s="8">
        <f t="shared" si="6"/>
        <v>2.371943599</v>
      </c>
      <c r="N58" s="11"/>
      <c r="O58" s="11"/>
    </row>
    <row r="59" ht="22.5" customHeight="1">
      <c r="A59" s="6" t="s">
        <v>19</v>
      </c>
      <c r="B59" s="6" t="s">
        <v>20</v>
      </c>
      <c r="C59" s="7" t="s">
        <v>21</v>
      </c>
      <c r="D59" s="6">
        <v>1.0</v>
      </c>
      <c r="E59" s="6">
        <v>23.0</v>
      </c>
      <c r="F59" s="8">
        <f t="shared" si="1"/>
        <v>7.321127382</v>
      </c>
      <c r="G59" s="8">
        <f t="shared" si="8"/>
        <v>7.321127382</v>
      </c>
      <c r="H59" s="6">
        <v>10.0</v>
      </c>
      <c r="I59" s="9">
        <v>520.0</v>
      </c>
      <c r="J59" s="10">
        <f t="shared" si="3"/>
        <v>1.731771197</v>
      </c>
      <c r="K59" s="8">
        <f t="shared" si="4"/>
        <v>0.06927084786</v>
      </c>
      <c r="L59" s="8">
        <f t="shared" si="5"/>
        <v>0.3602084089</v>
      </c>
      <c r="M59" s="8">
        <f t="shared" si="6"/>
        <v>2.161250453</v>
      </c>
      <c r="N59" s="11"/>
      <c r="O59" s="11"/>
    </row>
    <row r="60" ht="22.5" customHeight="1">
      <c r="A60" s="6" t="s">
        <v>19</v>
      </c>
      <c r="B60" s="6" t="s">
        <v>20</v>
      </c>
      <c r="C60" s="7" t="s">
        <v>21</v>
      </c>
      <c r="D60" s="6">
        <v>1.0</v>
      </c>
      <c r="E60" s="6">
        <v>23.0</v>
      </c>
      <c r="F60" s="8">
        <f t="shared" si="1"/>
        <v>7.321127382</v>
      </c>
      <c r="G60" s="8">
        <f t="shared" si="8"/>
        <v>7.321127382</v>
      </c>
      <c r="H60" s="6">
        <v>12.0</v>
      </c>
      <c r="I60" s="9">
        <v>520.0</v>
      </c>
      <c r="J60" s="10">
        <f t="shared" si="3"/>
        <v>2.069052012</v>
      </c>
      <c r="K60" s="8">
        <f t="shared" si="4"/>
        <v>0.08276208049</v>
      </c>
      <c r="L60" s="8">
        <f t="shared" si="5"/>
        <v>0.4303628185</v>
      </c>
      <c r="M60" s="8">
        <f t="shared" si="6"/>
        <v>2.582176911</v>
      </c>
      <c r="N60" s="11"/>
      <c r="O60" s="11"/>
    </row>
    <row r="61" ht="22.5" customHeight="1">
      <c r="A61" s="6" t="s">
        <v>19</v>
      </c>
      <c r="B61" s="6" t="s">
        <v>20</v>
      </c>
      <c r="C61" s="7" t="s">
        <v>21</v>
      </c>
      <c r="D61" s="6">
        <v>1.0</v>
      </c>
      <c r="E61" s="6">
        <v>23.0</v>
      </c>
      <c r="F61" s="8">
        <f t="shared" si="1"/>
        <v>7.321127382</v>
      </c>
      <c r="G61" s="8">
        <f t="shared" si="8"/>
        <v>7.321127382</v>
      </c>
      <c r="H61" s="6">
        <v>14.0</v>
      </c>
      <c r="I61" s="9">
        <v>520.0</v>
      </c>
      <c r="J61" s="10">
        <f t="shared" si="3"/>
        <v>2.404980032</v>
      </c>
      <c r="K61" s="8">
        <f t="shared" si="4"/>
        <v>0.09619920127</v>
      </c>
      <c r="L61" s="8">
        <f t="shared" si="5"/>
        <v>0.5002358466</v>
      </c>
      <c r="M61" s="8">
        <f t="shared" si="6"/>
        <v>3.00141508</v>
      </c>
      <c r="N61" s="11"/>
      <c r="O61" s="11"/>
    </row>
    <row r="62" ht="22.5" customHeight="1">
      <c r="A62" s="6" t="s">
        <v>27</v>
      </c>
      <c r="B62" s="6" t="s">
        <v>65</v>
      </c>
      <c r="C62" s="7" t="s">
        <v>35</v>
      </c>
      <c r="D62" s="6">
        <v>3.0</v>
      </c>
      <c r="E62" s="6">
        <v>24.0</v>
      </c>
      <c r="F62" s="8">
        <f t="shared" si="1"/>
        <v>7.639437268</v>
      </c>
      <c r="G62" s="8">
        <f t="shared" si="8"/>
        <v>10.05406486</v>
      </c>
      <c r="H62" s="6">
        <v>10.0</v>
      </c>
      <c r="I62" s="9">
        <v>520.0</v>
      </c>
      <c r="J62" s="10">
        <f t="shared" si="3"/>
        <v>3.21666099</v>
      </c>
      <c r="K62" s="8">
        <f t="shared" si="4"/>
        <v>0.1286664396</v>
      </c>
      <c r="L62" s="8">
        <f t="shared" si="5"/>
        <v>0.669065486</v>
      </c>
      <c r="M62" s="8">
        <f t="shared" si="6"/>
        <v>4.014392916</v>
      </c>
      <c r="N62" s="11"/>
      <c r="O62" s="11"/>
    </row>
    <row r="63" ht="22.5" customHeight="1">
      <c r="A63" s="6" t="s">
        <v>31</v>
      </c>
      <c r="B63" s="6" t="s">
        <v>59</v>
      </c>
      <c r="C63" s="7" t="s">
        <v>36</v>
      </c>
      <c r="D63" s="6">
        <v>2.0</v>
      </c>
      <c r="E63" s="6">
        <v>24.0</v>
      </c>
      <c r="F63" s="8">
        <f t="shared" si="1"/>
        <v>7.639437268</v>
      </c>
      <c r="G63" s="8">
        <f t="shared" si="8"/>
        <v>9.084873154</v>
      </c>
      <c r="H63" s="6">
        <v>9.0</v>
      </c>
      <c r="I63" s="9">
        <v>690.0</v>
      </c>
      <c r="J63" s="10">
        <f t="shared" si="3"/>
        <v>3.138418797</v>
      </c>
      <c r="K63" s="8">
        <f t="shared" si="4"/>
        <v>0.1255367519</v>
      </c>
      <c r="L63" s="8">
        <f t="shared" si="5"/>
        <v>0.6527911097</v>
      </c>
      <c r="M63" s="8">
        <f t="shared" si="6"/>
        <v>3.916746658</v>
      </c>
      <c r="N63" s="11"/>
      <c r="O63" s="11"/>
    </row>
    <row r="64" ht="22.5" customHeight="1">
      <c r="A64" s="6" t="s">
        <v>23</v>
      </c>
      <c r="B64" s="6" t="s">
        <v>33</v>
      </c>
      <c r="C64" s="7" t="s">
        <v>34</v>
      </c>
      <c r="D64" s="6">
        <v>3.0</v>
      </c>
      <c r="E64" s="6">
        <v>24.0</v>
      </c>
      <c r="F64" s="8">
        <f t="shared" si="1"/>
        <v>7.639437268</v>
      </c>
      <c r="G64" s="8">
        <f t="shared" si="8"/>
        <v>10.05406486</v>
      </c>
      <c r="H64" s="6">
        <v>12.0</v>
      </c>
      <c r="I64" s="9">
        <v>520.0</v>
      </c>
      <c r="J64" s="10">
        <f t="shared" si="3"/>
        <v>3.843139849</v>
      </c>
      <c r="K64" s="8">
        <f t="shared" si="4"/>
        <v>0.153725594</v>
      </c>
      <c r="L64" s="8">
        <f t="shared" si="5"/>
        <v>0.7993730885</v>
      </c>
      <c r="M64" s="8">
        <f t="shared" si="6"/>
        <v>4.796238531</v>
      </c>
      <c r="N64" s="11"/>
      <c r="O64" s="11"/>
    </row>
    <row r="65" ht="22.5" customHeight="1">
      <c r="A65" s="6" t="s">
        <v>19</v>
      </c>
      <c r="B65" s="6" t="s">
        <v>20</v>
      </c>
      <c r="C65" s="7" t="s">
        <v>21</v>
      </c>
      <c r="D65" s="6">
        <v>1.0</v>
      </c>
      <c r="E65" s="6">
        <v>24.0</v>
      </c>
      <c r="F65" s="8">
        <f t="shared" si="1"/>
        <v>7.639437268</v>
      </c>
      <c r="G65" s="8">
        <f t="shared" si="8"/>
        <v>7.639437268</v>
      </c>
      <c r="H65" s="6">
        <v>13.0</v>
      </c>
      <c r="I65" s="9">
        <v>520.0</v>
      </c>
      <c r="J65" s="10">
        <f t="shared" si="3"/>
        <v>2.430965704</v>
      </c>
      <c r="K65" s="8">
        <f t="shared" si="4"/>
        <v>0.09723862814</v>
      </c>
      <c r="L65" s="8">
        <f t="shared" si="5"/>
        <v>0.5056408663</v>
      </c>
      <c r="M65" s="8">
        <f t="shared" si="6"/>
        <v>3.033845198</v>
      </c>
      <c r="N65" s="11"/>
      <c r="O65" s="11"/>
    </row>
    <row r="66" ht="22.5" customHeight="1">
      <c r="A66" s="6" t="s">
        <v>19</v>
      </c>
      <c r="B66" s="6" t="s">
        <v>20</v>
      </c>
      <c r="C66" s="7" t="s">
        <v>21</v>
      </c>
      <c r="D66" s="6">
        <v>1.0</v>
      </c>
      <c r="E66" s="6">
        <v>24.0</v>
      </c>
      <c r="F66" s="8">
        <f t="shared" si="1"/>
        <v>7.639437268</v>
      </c>
      <c r="G66" s="8">
        <f t="shared" si="8"/>
        <v>7.639437268</v>
      </c>
      <c r="H66" s="6">
        <v>13.0</v>
      </c>
      <c r="I66" s="9">
        <v>520.0</v>
      </c>
      <c r="J66" s="10">
        <f t="shared" si="3"/>
        <v>2.430965704</v>
      </c>
      <c r="K66" s="8">
        <f t="shared" si="4"/>
        <v>0.09723862814</v>
      </c>
      <c r="L66" s="8">
        <f t="shared" si="5"/>
        <v>0.5056408663</v>
      </c>
      <c r="M66" s="8">
        <f t="shared" si="6"/>
        <v>3.033845198</v>
      </c>
      <c r="N66" s="11"/>
      <c r="O66" s="11"/>
    </row>
    <row r="67" ht="22.5" customHeight="1">
      <c r="A67" s="6" t="s">
        <v>19</v>
      </c>
      <c r="B67" s="6" t="s">
        <v>20</v>
      </c>
      <c r="C67" s="7" t="s">
        <v>21</v>
      </c>
      <c r="D67" s="6">
        <v>1.0</v>
      </c>
      <c r="E67" s="6">
        <v>24.0</v>
      </c>
      <c r="F67" s="8">
        <f t="shared" si="1"/>
        <v>7.639437268</v>
      </c>
      <c r="G67" s="8">
        <f t="shared" si="8"/>
        <v>7.639437268</v>
      </c>
      <c r="H67" s="6">
        <v>10.0</v>
      </c>
      <c r="I67" s="9">
        <v>520.0</v>
      </c>
      <c r="J67" s="10">
        <f t="shared" si="3"/>
        <v>1.881785509</v>
      </c>
      <c r="K67" s="8">
        <f t="shared" si="4"/>
        <v>0.07527142037</v>
      </c>
      <c r="L67" s="8">
        <f t="shared" si="5"/>
        <v>0.3914113859</v>
      </c>
      <c r="M67" s="8">
        <f t="shared" si="6"/>
        <v>2.348468316</v>
      </c>
      <c r="N67" s="11"/>
      <c r="O67" s="11"/>
    </row>
    <row r="68" ht="22.5" customHeight="1">
      <c r="A68" s="6" t="s">
        <v>19</v>
      </c>
      <c r="B68" s="6" t="s">
        <v>20</v>
      </c>
      <c r="C68" s="7" t="s">
        <v>21</v>
      </c>
      <c r="D68" s="6">
        <v>1.0</v>
      </c>
      <c r="E68" s="6">
        <v>24.0</v>
      </c>
      <c r="F68" s="8">
        <f t="shared" si="1"/>
        <v>7.639437268</v>
      </c>
      <c r="G68" s="8">
        <f t="shared" si="8"/>
        <v>7.639437268</v>
      </c>
      <c r="H68" s="6">
        <v>10.0</v>
      </c>
      <c r="I68" s="9">
        <v>520.0</v>
      </c>
      <c r="J68" s="10">
        <f t="shared" si="3"/>
        <v>1.881785509</v>
      </c>
      <c r="K68" s="8">
        <f t="shared" si="4"/>
        <v>0.07527142037</v>
      </c>
      <c r="L68" s="8">
        <f t="shared" si="5"/>
        <v>0.3914113859</v>
      </c>
      <c r="M68" s="8">
        <f t="shared" si="6"/>
        <v>2.348468316</v>
      </c>
      <c r="N68" s="11"/>
      <c r="O68" s="11"/>
    </row>
    <row r="69" ht="22.5" customHeight="1">
      <c r="A69" s="6" t="s">
        <v>19</v>
      </c>
      <c r="B69" s="6" t="s">
        <v>20</v>
      </c>
      <c r="C69" s="7" t="s">
        <v>21</v>
      </c>
      <c r="D69" s="6">
        <v>1.0</v>
      </c>
      <c r="E69" s="6">
        <v>24.0</v>
      </c>
      <c r="F69" s="8">
        <f t="shared" si="1"/>
        <v>7.639437268</v>
      </c>
      <c r="G69" s="8">
        <f t="shared" si="8"/>
        <v>7.639437268</v>
      </c>
      <c r="H69" s="6">
        <v>8.0</v>
      </c>
      <c r="I69" s="9">
        <v>520.0</v>
      </c>
      <c r="J69" s="10">
        <f t="shared" si="3"/>
        <v>1.513512274</v>
      </c>
      <c r="K69" s="8">
        <f t="shared" si="4"/>
        <v>0.06054049096</v>
      </c>
      <c r="L69" s="8">
        <f t="shared" si="5"/>
        <v>0.314810553</v>
      </c>
      <c r="M69" s="8">
        <f t="shared" si="6"/>
        <v>1.888863318</v>
      </c>
      <c r="N69" s="11"/>
      <c r="O69" s="11"/>
    </row>
    <row r="70" ht="22.5" customHeight="1">
      <c r="A70" s="6" t="s">
        <v>31</v>
      </c>
      <c r="B70" s="6" t="s">
        <v>57</v>
      </c>
      <c r="C70" s="7" t="s">
        <v>51</v>
      </c>
      <c r="D70" s="6">
        <v>1.0</v>
      </c>
      <c r="E70" s="6">
        <v>24.0</v>
      </c>
      <c r="F70" s="8">
        <f t="shared" si="1"/>
        <v>7.639437268</v>
      </c>
      <c r="G70" s="8">
        <f t="shared" si="8"/>
        <v>7.639437268</v>
      </c>
      <c r="H70" s="6">
        <v>11.0</v>
      </c>
      <c r="I70" s="9">
        <v>560.0</v>
      </c>
      <c r="J70" s="10">
        <f t="shared" si="3"/>
        <v>2.220146493</v>
      </c>
      <c r="K70" s="8">
        <f t="shared" si="4"/>
        <v>0.08880585971</v>
      </c>
      <c r="L70" s="8">
        <f t="shared" si="5"/>
        <v>0.4617904705</v>
      </c>
      <c r="M70" s="8">
        <f t="shared" si="6"/>
        <v>2.770742823</v>
      </c>
      <c r="N70" s="11"/>
      <c r="O70" s="11"/>
    </row>
    <row r="71" ht="22.5" customHeight="1">
      <c r="A71" s="6" t="s">
        <v>25</v>
      </c>
      <c r="B71" s="6" t="s">
        <v>58</v>
      </c>
      <c r="C71" s="7" t="s">
        <v>54</v>
      </c>
      <c r="D71" s="6">
        <v>1.0</v>
      </c>
      <c r="E71" s="6">
        <v>24.0</v>
      </c>
      <c r="F71" s="8">
        <f t="shared" si="1"/>
        <v>7.639437268</v>
      </c>
      <c r="G71" s="8">
        <f t="shared" si="8"/>
        <v>7.639437268</v>
      </c>
      <c r="H71" s="6">
        <v>8.0</v>
      </c>
      <c r="I71" s="9">
        <v>550.0</v>
      </c>
      <c r="J71" s="10">
        <f t="shared" si="3"/>
        <v>1.598676786</v>
      </c>
      <c r="K71" s="8">
        <f t="shared" si="4"/>
        <v>0.06394707145</v>
      </c>
      <c r="L71" s="8">
        <f t="shared" si="5"/>
        <v>0.3325247715</v>
      </c>
      <c r="M71" s="8">
        <f t="shared" si="6"/>
        <v>1.995148629</v>
      </c>
      <c r="N71" s="11"/>
      <c r="O71" s="11"/>
    </row>
    <row r="72" ht="22.5" customHeight="1">
      <c r="A72" s="6" t="s">
        <v>29</v>
      </c>
      <c r="B72" s="6" t="s">
        <v>58</v>
      </c>
      <c r="C72" s="7" t="s">
        <v>54</v>
      </c>
      <c r="D72" s="6">
        <v>1.0</v>
      </c>
      <c r="E72" s="6">
        <v>24.0</v>
      </c>
      <c r="F72" s="8">
        <f t="shared" si="1"/>
        <v>7.639437268</v>
      </c>
      <c r="G72" s="8">
        <f t="shared" si="8"/>
        <v>7.639437268</v>
      </c>
      <c r="H72" s="6">
        <v>9.0</v>
      </c>
      <c r="I72" s="9">
        <v>550.0</v>
      </c>
      <c r="J72" s="10">
        <f t="shared" si="3"/>
        <v>1.793434544</v>
      </c>
      <c r="K72" s="8">
        <f t="shared" si="4"/>
        <v>0.07173738178</v>
      </c>
      <c r="L72" s="8">
        <f t="shared" si="5"/>
        <v>0.3730343852</v>
      </c>
      <c r="M72" s="8">
        <f t="shared" si="6"/>
        <v>2.238206311</v>
      </c>
      <c r="N72" s="11"/>
      <c r="O72" s="11"/>
    </row>
    <row r="73" ht="22.5" customHeight="1">
      <c r="A73" s="6" t="s">
        <v>19</v>
      </c>
      <c r="B73" s="6" t="s">
        <v>42</v>
      </c>
      <c r="C73" s="7" t="s">
        <v>22</v>
      </c>
      <c r="D73" s="6">
        <v>3.0</v>
      </c>
      <c r="E73" s="6">
        <v>25.0</v>
      </c>
      <c r="F73" s="8">
        <f t="shared" si="1"/>
        <v>7.957747155</v>
      </c>
      <c r="G73" s="8">
        <f t="shared" si="8"/>
        <v>10.47298423</v>
      </c>
      <c r="H73" s="6">
        <v>8.0</v>
      </c>
      <c r="I73" s="9">
        <v>540.0</v>
      </c>
      <c r="J73" s="10">
        <f t="shared" si="3"/>
        <v>2.906864036</v>
      </c>
      <c r="K73" s="8">
        <f t="shared" si="4"/>
        <v>0.1162745615</v>
      </c>
      <c r="L73" s="8">
        <f t="shared" si="5"/>
        <v>0.6046277195</v>
      </c>
      <c r="M73" s="8">
        <f t="shared" si="6"/>
        <v>3.627766317</v>
      </c>
      <c r="N73" s="11"/>
      <c r="O73" s="11"/>
    </row>
    <row r="74" ht="22.5" customHeight="1">
      <c r="A74" s="6" t="s">
        <v>28</v>
      </c>
      <c r="B74" s="6" t="s">
        <v>59</v>
      </c>
      <c r="C74" s="7" t="s">
        <v>36</v>
      </c>
      <c r="D74" s="6">
        <v>2.0</v>
      </c>
      <c r="E74" s="6">
        <v>25.0</v>
      </c>
      <c r="F74" s="8">
        <f t="shared" si="1"/>
        <v>7.957747155</v>
      </c>
      <c r="G74" s="8">
        <f t="shared" si="8"/>
        <v>9.463409536</v>
      </c>
      <c r="H74" s="6">
        <v>9.0</v>
      </c>
      <c r="I74" s="9">
        <v>690.0</v>
      </c>
      <c r="J74" s="10">
        <f t="shared" si="3"/>
        <v>3.398736138</v>
      </c>
      <c r="K74" s="8">
        <f t="shared" si="4"/>
        <v>0.1359494455</v>
      </c>
      <c r="L74" s="8">
        <f t="shared" si="5"/>
        <v>0.7069371167</v>
      </c>
      <c r="M74" s="8">
        <f t="shared" si="6"/>
        <v>4.2416227</v>
      </c>
      <c r="N74" s="11"/>
      <c r="O74" s="11"/>
    </row>
    <row r="75" ht="22.5" customHeight="1">
      <c r="A75" s="6" t="s">
        <v>19</v>
      </c>
      <c r="B75" s="6" t="s">
        <v>59</v>
      </c>
      <c r="C75" s="7" t="s">
        <v>36</v>
      </c>
      <c r="D75" s="6">
        <v>3.0</v>
      </c>
      <c r="E75" s="6">
        <v>25.0</v>
      </c>
      <c r="F75" s="8">
        <f t="shared" si="1"/>
        <v>7.957747155</v>
      </c>
      <c r="G75" s="8">
        <f t="shared" si="8"/>
        <v>10.47298423</v>
      </c>
      <c r="H75" s="6">
        <v>10.0</v>
      </c>
      <c r="I75" s="9">
        <v>690.0</v>
      </c>
      <c r="J75" s="10">
        <f t="shared" si="3"/>
        <v>4.591021161</v>
      </c>
      <c r="K75" s="8">
        <f t="shared" si="4"/>
        <v>0.1836408464</v>
      </c>
      <c r="L75" s="8">
        <f t="shared" si="5"/>
        <v>0.9549324015</v>
      </c>
      <c r="M75" s="8">
        <f t="shared" si="6"/>
        <v>5.729594409</v>
      </c>
      <c r="N75" s="11"/>
      <c r="O75" s="11"/>
    </row>
    <row r="76" ht="22.5" customHeight="1">
      <c r="A76" s="6" t="s">
        <v>19</v>
      </c>
      <c r="B76" s="6" t="s">
        <v>20</v>
      </c>
      <c r="C76" s="7" t="s">
        <v>21</v>
      </c>
      <c r="D76" s="6">
        <v>1.0</v>
      </c>
      <c r="E76" s="6">
        <v>25.0</v>
      </c>
      <c r="F76" s="8">
        <f t="shared" si="1"/>
        <v>7.957747155</v>
      </c>
      <c r="G76" s="8">
        <f t="shared" si="8"/>
        <v>7.957747155</v>
      </c>
      <c r="H76" s="6">
        <v>13.0</v>
      </c>
      <c r="I76" s="9">
        <v>520.0</v>
      </c>
      <c r="J76" s="10">
        <f t="shared" si="3"/>
        <v>2.632603079</v>
      </c>
      <c r="K76" s="8">
        <f t="shared" si="4"/>
        <v>0.1053041232</v>
      </c>
      <c r="L76" s="8">
        <f t="shared" si="5"/>
        <v>0.5475814404</v>
      </c>
      <c r="M76" s="8">
        <f t="shared" si="6"/>
        <v>3.285488643</v>
      </c>
      <c r="N76" s="11"/>
      <c r="O76" s="11"/>
    </row>
    <row r="77" ht="22.5" customHeight="1">
      <c r="A77" s="6" t="s">
        <v>19</v>
      </c>
      <c r="B77" s="6" t="s">
        <v>20</v>
      </c>
      <c r="C77" s="7" t="s">
        <v>21</v>
      </c>
      <c r="D77" s="6">
        <v>1.0</v>
      </c>
      <c r="E77" s="6">
        <v>25.0</v>
      </c>
      <c r="F77" s="8">
        <f t="shared" si="1"/>
        <v>7.957747155</v>
      </c>
      <c r="G77" s="8">
        <f t="shared" si="8"/>
        <v>7.957747155</v>
      </c>
      <c r="H77" s="6">
        <v>12.0</v>
      </c>
      <c r="I77" s="9">
        <v>520.0</v>
      </c>
      <c r="J77" s="10">
        <f t="shared" si="3"/>
        <v>2.43476791</v>
      </c>
      <c r="K77" s="8">
        <f t="shared" si="4"/>
        <v>0.09739071641</v>
      </c>
      <c r="L77" s="8">
        <f t="shared" si="5"/>
        <v>0.5064317253</v>
      </c>
      <c r="M77" s="8">
        <f t="shared" si="6"/>
        <v>3.038590352</v>
      </c>
      <c r="N77" s="11"/>
      <c r="O77" s="11"/>
    </row>
    <row r="78" ht="22.5" customHeight="1">
      <c r="A78" s="6" t="s">
        <v>23</v>
      </c>
      <c r="B78" s="6" t="s">
        <v>66</v>
      </c>
      <c r="C78" s="7" t="s">
        <v>52</v>
      </c>
      <c r="D78" s="6">
        <v>2.0</v>
      </c>
      <c r="E78" s="6">
        <v>25.0</v>
      </c>
      <c r="F78" s="8">
        <f t="shared" si="1"/>
        <v>7.957747155</v>
      </c>
      <c r="G78" s="8">
        <f t="shared" si="8"/>
        <v>9.463409536</v>
      </c>
      <c r="H78" s="6">
        <v>7.0</v>
      </c>
      <c r="I78" s="9">
        <v>600.0</v>
      </c>
      <c r="J78" s="10">
        <f t="shared" si="3"/>
        <v>2.320338547</v>
      </c>
      <c r="K78" s="8">
        <f t="shared" si="4"/>
        <v>0.0928135419</v>
      </c>
      <c r="L78" s="8">
        <f t="shared" si="5"/>
        <v>0.4826304179</v>
      </c>
      <c r="M78" s="8">
        <f t="shared" si="6"/>
        <v>2.895782507</v>
      </c>
      <c r="N78" s="11"/>
      <c r="O78" s="11"/>
    </row>
    <row r="79" ht="22.5" customHeight="1">
      <c r="A79" s="6" t="s">
        <v>28</v>
      </c>
      <c r="B79" s="6" t="s">
        <v>59</v>
      </c>
      <c r="C79" s="7" t="s">
        <v>36</v>
      </c>
      <c r="D79" s="6">
        <v>2.0</v>
      </c>
      <c r="E79" s="6">
        <v>26.0</v>
      </c>
      <c r="F79" s="8">
        <f t="shared" si="1"/>
        <v>8.276057041</v>
      </c>
      <c r="G79" s="8">
        <f t="shared" si="8"/>
        <v>9.841945917</v>
      </c>
      <c r="H79" s="6">
        <v>11.0</v>
      </c>
      <c r="I79" s="9">
        <v>690.0</v>
      </c>
      <c r="J79" s="10">
        <f t="shared" si="3"/>
        <v>4.462981629</v>
      </c>
      <c r="K79" s="8">
        <f t="shared" si="4"/>
        <v>0.1785192651</v>
      </c>
      <c r="L79" s="8">
        <f t="shared" si="5"/>
        <v>0.9283001788</v>
      </c>
      <c r="M79" s="8">
        <f t="shared" si="6"/>
        <v>5.569801073</v>
      </c>
      <c r="N79" s="11"/>
      <c r="O79" s="11"/>
    </row>
    <row r="80" ht="22.5" customHeight="1">
      <c r="A80" s="6" t="s">
        <v>26</v>
      </c>
      <c r="B80" s="6" t="s">
        <v>33</v>
      </c>
      <c r="C80" s="7" t="s">
        <v>34</v>
      </c>
      <c r="D80" s="6">
        <v>2.0</v>
      </c>
      <c r="E80" s="6">
        <v>26.0</v>
      </c>
      <c r="F80" s="8">
        <f t="shared" si="1"/>
        <v>8.276057041</v>
      </c>
      <c r="G80" s="8">
        <f t="shared" si="8"/>
        <v>9.841945917</v>
      </c>
      <c r="H80" s="6">
        <v>8.0</v>
      </c>
      <c r="I80" s="9">
        <v>520.0</v>
      </c>
      <c r="J80" s="10">
        <f t="shared" si="3"/>
        <v>2.481671062</v>
      </c>
      <c r="K80" s="8">
        <f t="shared" si="4"/>
        <v>0.09926684248</v>
      </c>
      <c r="L80" s="8">
        <f t="shared" si="5"/>
        <v>0.5161875809</v>
      </c>
      <c r="M80" s="8">
        <f t="shared" si="6"/>
        <v>3.097125485</v>
      </c>
      <c r="N80" s="11"/>
      <c r="O80" s="11"/>
    </row>
    <row r="81" ht="22.5" customHeight="1">
      <c r="A81" s="6" t="s">
        <v>19</v>
      </c>
      <c r="B81" s="6" t="s">
        <v>20</v>
      </c>
      <c r="C81" s="7" t="s">
        <v>21</v>
      </c>
      <c r="D81" s="6">
        <v>1.0</v>
      </c>
      <c r="E81" s="6">
        <v>26.0</v>
      </c>
      <c r="F81" s="8">
        <f t="shared" si="1"/>
        <v>8.276057041</v>
      </c>
      <c r="G81" s="8">
        <f t="shared" si="8"/>
        <v>8.276057041</v>
      </c>
      <c r="H81" s="6">
        <v>10.0</v>
      </c>
      <c r="I81" s="9">
        <v>520.0</v>
      </c>
      <c r="J81" s="10">
        <f t="shared" si="3"/>
        <v>2.200015554</v>
      </c>
      <c r="K81" s="8">
        <f t="shared" si="4"/>
        <v>0.08800062218</v>
      </c>
      <c r="L81" s="8">
        <f t="shared" si="5"/>
        <v>0.4576032353</v>
      </c>
      <c r="M81" s="8">
        <f t="shared" si="6"/>
        <v>2.745619412</v>
      </c>
      <c r="N81" s="11"/>
      <c r="O81" s="11"/>
    </row>
    <row r="82" ht="22.5" customHeight="1">
      <c r="A82" s="6" t="s">
        <v>19</v>
      </c>
      <c r="B82" s="6" t="s">
        <v>20</v>
      </c>
      <c r="C82" s="7" t="s">
        <v>21</v>
      </c>
      <c r="D82" s="6">
        <v>1.0</v>
      </c>
      <c r="E82" s="6">
        <v>26.0</v>
      </c>
      <c r="F82" s="8">
        <f t="shared" si="1"/>
        <v>8.276057041</v>
      </c>
      <c r="G82" s="8">
        <f t="shared" si="8"/>
        <v>8.276057041</v>
      </c>
      <c r="H82" s="6">
        <v>13.0</v>
      </c>
      <c r="I82" s="9">
        <v>520.0</v>
      </c>
      <c r="J82" s="10">
        <f t="shared" si="3"/>
        <v>2.84206799</v>
      </c>
      <c r="K82" s="8">
        <f t="shared" si="4"/>
        <v>0.1136827196</v>
      </c>
      <c r="L82" s="8">
        <f t="shared" si="5"/>
        <v>0.5911501419</v>
      </c>
      <c r="M82" s="8">
        <f t="shared" si="6"/>
        <v>3.546900851</v>
      </c>
      <c r="N82" s="11"/>
      <c r="O82" s="11"/>
    </row>
    <row r="83" ht="22.5" customHeight="1">
      <c r="A83" s="6" t="s">
        <v>19</v>
      </c>
      <c r="B83" s="6" t="s">
        <v>20</v>
      </c>
      <c r="C83" s="7" t="s">
        <v>21</v>
      </c>
      <c r="D83" s="6">
        <v>1.0</v>
      </c>
      <c r="E83" s="6">
        <v>26.0</v>
      </c>
      <c r="F83" s="8">
        <f t="shared" si="1"/>
        <v>8.276057041</v>
      </c>
      <c r="G83" s="8">
        <f t="shared" si="8"/>
        <v>8.276057041</v>
      </c>
      <c r="H83" s="6">
        <v>9.0</v>
      </c>
      <c r="I83" s="9">
        <v>520.0</v>
      </c>
      <c r="J83" s="10">
        <f t="shared" si="3"/>
        <v>1.985027102</v>
      </c>
      <c r="K83" s="8">
        <f t="shared" si="4"/>
        <v>0.07940108406</v>
      </c>
      <c r="L83" s="8">
        <f t="shared" si="5"/>
        <v>0.4128856371</v>
      </c>
      <c r="M83" s="8">
        <f t="shared" si="6"/>
        <v>2.477313823</v>
      </c>
      <c r="N83" s="11"/>
      <c r="O83" s="11"/>
    </row>
    <row r="84" ht="22.5" customHeight="1">
      <c r="A84" s="6" t="s">
        <v>19</v>
      </c>
      <c r="B84" s="6" t="s">
        <v>20</v>
      </c>
      <c r="C84" s="7" t="s">
        <v>21</v>
      </c>
      <c r="D84" s="6">
        <v>1.0</v>
      </c>
      <c r="E84" s="6">
        <v>26.0</v>
      </c>
      <c r="F84" s="8">
        <f t="shared" si="1"/>
        <v>8.276057041</v>
      </c>
      <c r="G84" s="8">
        <f t="shared" si="8"/>
        <v>8.276057041</v>
      </c>
      <c r="H84" s="6">
        <v>9.0</v>
      </c>
      <c r="I84" s="9">
        <v>520.0</v>
      </c>
      <c r="J84" s="10">
        <f t="shared" si="3"/>
        <v>1.985027102</v>
      </c>
      <c r="K84" s="8">
        <f t="shared" si="4"/>
        <v>0.07940108406</v>
      </c>
      <c r="L84" s="8">
        <f t="shared" si="5"/>
        <v>0.4128856371</v>
      </c>
      <c r="M84" s="8">
        <f t="shared" si="6"/>
        <v>2.477313823</v>
      </c>
      <c r="N84" s="11"/>
      <c r="O84" s="11"/>
    </row>
    <row r="85" ht="22.5" customHeight="1">
      <c r="A85" s="6" t="s">
        <v>19</v>
      </c>
      <c r="B85" s="6" t="s">
        <v>59</v>
      </c>
      <c r="C85" s="7" t="s">
        <v>36</v>
      </c>
      <c r="D85" s="6">
        <v>1.0</v>
      </c>
      <c r="E85" s="6">
        <v>28.0</v>
      </c>
      <c r="F85" s="8">
        <f t="shared" si="1"/>
        <v>8.912676813</v>
      </c>
      <c r="G85" s="8">
        <f t="shared" si="8"/>
        <v>8.912676813</v>
      </c>
      <c r="H85" s="6">
        <v>9.0</v>
      </c>
      <c r="I85" s="9">
        <v>690.0</v>
      </c>
      <c r="J85" s="10">
        <f t="shared" si="3"/>
        <v>3.023349758</v>
      </c>
      <c r="K85" s="8">
        <f t="shared" si="4"/>
        <v>0.1209339903</v>
      </c>
      <c r="L85" s="8">
        <f t="shared" si="5"/>
        <v>0.6288567496</v>
      </c>
      <c r="M85" s="8">
        <f t="shared" si="6"/>
        <v>3.773140498</v>
      </c>
      <c r="N85" s="11"/>
      <c r="O85" s="11"/>
    </row>
    <row r="86" ht="22.5" customHeight="1">
      <c r="A86" s="6" t="s">
        <v>26</v>
      </c>
      <c r="B86" s="6" t="s">
        <v>59</v>
      </c>
      <c r="C86" s="7" t="s">
        <v>36</v>
      </c>
      <c r="D86" s="6">
        <v>2.0</v>
      </c>
      <c r="E86" s="6">
        <v>28.0</v>
      </c>
      <c r="F86" s="8">
        <f t="shared" si="1"/>
        <v>8.912676813</v>
      </c>
      <c r="G86" s="8">
        <f t="shared" si="8"/>
        <v>10.59901868</v>
      </c>
      <c r="H86" s="6">
        <v>12.0</v>
      </c>
      <c r="I86" s="9">
        <v>690.0</v>
      </c>
      <c r="J86" s="10">
        <f t="shared" si="3"/>
        <v>5.614760507</v>
      </c>
      <c r="K86" s="8">
        <f t="shared" si="4"/>
        <v>0.2245904203</v>
      </c>
      <c r="L86" s="8">
        <f t="shared" si="5"/>
        <v>1.167870185</v>
      </c>
      <c r="M86" s="8">
        <f t="shared" si="6"/>
        <v>7.007221112</v>
      </c>
      <c r="N86" s="11"/>
      <c r="O86" s="11"/>
    </row>
    <row r="87" ht="22.5" customHeight="1">
      <c r="A87" s="6" t="s">
        <v>25</v>
      </c>
      <c r="B87" s="6" t="s">
        <v>67</v>
      </c>
      <c r="C87" s="7" t="s">
        <v>40</v>
      </c>
      <c r="D87" s="6">
        <v>1.0</v>
      </c>
      <c r="E87" s="6">
        <v>28.0</v>
      </c>
      <c r="F87" s="8">
        <f t="shared" si="1"/>
        <v>8.912676813</v>
      </c>
      <c r="G87" s="8">
        <f t="shared" si="8"/>
        <v>8.912676813</v>
      </c>
      <c r="H87" s="6">
        <v>17.0</v>
      </c>
      <c r="I87" s="9">
        <v>790.0</v>
      </c>
      <c r="J87" s="10">
        <f t="shared" si="3"/>
        <v>6.418494572</v>
      </c>
      <c r="K87" s="8">
        <f t="shared" si="4"/>
        <v>0.2567397829</v>
      </c>
      <c r="L87" s="8">
        <f t="shared" si="5"/>
        <v>1.335046871</v>
      </c>
      <c r="M87" s="8">
        <f t="shared" si="6"/>
        <v>8.010281226</v>
      </c>
      <c r="N87" s="11"/>
      <c r="O87" s="11"/>
    </row>
    <row r="88" ht="22.5" customHeight="1">
      <c r="A88" s="6" t="s">
        <v>27</v>
      </c>
      <c r="B88" s="6" t="s">
        <v>33</v>
      </c>
      <c r="C88" s="7" t="s">
        <v>34</v>
      </c>
      <c r="D88" s="6">
        <v>1.0</v>
      </c>
      <c r="E88" s="6">
        <v>28.0</v>
      </c>
      <c r="F88" s="8">
        <f t="shared" si="1"/>
        <v>8.912676813</v>
      </c>
      <c r="G88" s="8">
        <f t="shared" si="8"/>
        <v>8.912676813</v>
      </c>
      <c r="H88" s="6">
        <v>12.0</v>
      </c>
      <c r="I88" s="9">
        <v>520.0</v>
      </c>
      <c r="J88" s="10">
        <f t="shared" si="3"/>
        <v>3.037603954</v>
      </c>
      <c r="K88" s="8">
        <f t="shared" si="4"/>
        <v>0.1215041582</v>
      </c>
      <c r="L88" s="8">
        <f t="shared" si="5"/>
        <v>0.6318216224</v>
      </c>
      <c r="M88" s="8">
        <f t="shared" si="6"/>
        <v>3.790929734</v>
      </c>
      <c r="N88" s="11"/>
      <c r="O88" s="11"/>
    </row>
    <row r="89" ht="22.5" customHeight="1">
      <c r="A89" s="6" t="s">
        <v>30</v>
      </c>
      <c r="B89" s="6" t="s">
        <v>33</v>
      </c>
      <c r="C89" s="7" t="s">
        <v>34</v>
      </c>
      <c r="D89" s="6">
        <v>1.0</v>
      </c>
      <c r="E89" s="6">
        <v>28.0</v>
      </c>
      <c r="F89" s="8">
        <f t="shared" si="1"/>
        <v>8.912676813</v>
      </c>
      <c r="G89" s="8">
        <f t="shared" si="8"/>
        <v>8.912676813</v>
      </c>
      <c r="H89" s="6">
        <v>9.0</v>
      </c>
      <c r="I89" s="9">
        <v>520.0</v>
      </c>
      <c r="J89" s="10">
        <f t="shared" si="3"/>
        <v>2.293986948</v>
      </c>
      <c r="K89" s="8">
        <f t="shared" si="4"/>
        <v>0.0917594779</v>
      </c>
      <c r="L89" s="8">
        <f t="shared" si="5"/>
        <v>0.4771492851</v>
      </c>
      <c r="M89" s="8">
        <f t="shared" si="6"/>
        <v>2.862895711</v>
      </c>
      <c r="N89" s="11"/>
      <c r="O89" s="11"/>
    </row>
    <row r="90" ht="22.5" customHeight="1">
      <c r="A90" s="6" t="s">
        <v>29</v>
      </c>
      <c r="B90" s="6" t="s">
        <v>61</v>
      </c>
      <c r="C90" s="7" t="s">
        <v>34</v>
      </c>
      <c r="D90" s="6">
        <v>2.0</v>
      </c>
      <c r="E90" s="6">
        <v>28.0</v>
      </c>
      <c r="F90" s="8">
        <f t="shared" si="1"/>
        <v>8.912676813</v>
      </c>
      <c r="G90" s="8">
        <f t="shared" si="8"/>
        <v>10.59901868</v>
      </c>
      <c r="H90" s="6">
        <v>10.0</v>
      </c>
      <c r="I90" s="9">
        <v>520.0</v>
      </c>
      <c r="J90" s="10">
        <f t="shared" si="3"/>
        <v>3.565766423</v>
      </c>
      <c r="K90" s="8">
        <f t="shared" si="4"/>
        <v>0.1426306569</v>
      </c>
      <c r="L90" s="8">
        <f t="shared" si="5"/>
        <v>0.7416794161</v>
      </c>
      <c r="M90" s="8">
        <f t="shared" si="6"/>
        <v>4.450076496</v>
      </c>
      <c r="N90" s="11"/>
      <c r="O90" s="11"/>
    </row>
    <row r="91" ht="22.5" customHeight="1">
      <c r="A91" s="6" t="s">
        <v>27</v>
      </c>
      <c r="B91" s="6" t="s">
        <v>33</v>
      </c>
      <c r="C91" s="7" t="s">
        <v>34</v>
      </c>
      <c r="D91" s="6">
        <v>3.0</v>
      </c>
      <c r="E91" s="6">
        <v>28.0</v>
      </c>
      <c r="F91" s="8">
        <f t="shared" si="1"/>
        <v>8.912676813</v>
      </c>
      <c r="G91" s="8">
        <f t="shared" si="8"/>
        <v>11.72974234</v>
      </c>
      <c r="H91" s="6">
        <v>12.0</v>
      </c>
      <c r="I91" s="9">
        <v>520.0</v>
      </c>
      <c r="J91" s="10">
        <f t="shared" si="3"/>
        <v>5.192378246</v>
      </c>
      <c r="K91" s="8">
        <f t="shared" si="4"/>
        <v>0.2076951298</v>
      </c>
      <c r="L91" s="8">
        <f t="shared" si="5"/>
        <v>1.080014675</v>
      </c>
      <c r="M91" s="8">
        <f t="shared" si="6"/>
        <v>6.480088051</v>
      </c>
      <c r="N91" s="11"/>
      <c r="O91" s="11"/>
    </row>
    <row r="92" ht="22.5" customHeight="1">
      <c r="A92" s="6" t="s">
        <v>23</v>
      </c>
      <c r="B92" s="6" t="s">
        <v>64</v>
      </c>
      <c r="C92" s="7" t="s">
        <v>48</v>
      </c>
      <c r="D92" s="6">
        <v>2.0</v>
      </c>
      <c r="E92" s="6">
        <v>28.0</v>
      </c>
      <c r="F92" s="8">
        <f t="shared" si="1"/>
        <v>8.912676813</v>
      </c>
      <c r="G92" s="8">
        <f t="shared" si="8"/>
        <v>10.59901868</v>
      </c>
      <c r="H92" s="6">
        <v>7.0</v>
      </c>
      <c r="I92" s="9">
        <v>550.0</v>
      </c>
      <c r="J92" s="10">
        <f t="shared" si="3"/>
        <v>2.659152839</v>
      </c>
      <c r="K92" s="8">
        <f t="shared" si="4"/>
        <v>0.1063661136</v>
      </c>
      <c r="L92" s="8">
        <f t="shared" si="5"/>
        <v>0.5531037905</v>
      </c>
      <c r="M92" s="8">
        <f t="shared" si="6"/>
        <v>3.318622743</v>
      </c>
      <c r="N92" s="11"/>
      <c r="O92" s="11"/>
    </row>
    <row r="93" ht="22.5" customHeight="1">
      <c r="A93" s="6" t="s">
        <v>23</v>
      </c>
      <c r="B93" s="6" t="s">
        <v>64</v>
      </c>
      <c r="C93" s="7" t="s">
        <v>48</v>
      </c>
      <c r="D93" s="6">
        <v>2.0</v>
      </c>
      <c r="E93" s="6">
        <v>28.0</v>
      </c>
      <c r="F93" s="8">
        <f t="shared" si="1"/>
        <v>8.912676813</v>
      </c>
      <c r="G93" s="8">
        <f t="shared" si="8"/>
        <v>10.59901868</v>
      </c>
      <c r="H93" s="6">
        <v>5.0</v>
      </c>
      <c r="I93" s="9">
        <v>550.0</v>
      </c>
      <c r="J93" s="10">
        <f t="shared" si="3"/>
        <v>1.91479523</v>
      </c>
      <c r="K93" s="8">
        <f t="shared" si="4"/>
        <v>0.07659180921</v>
      </c>
      <c r="L93" s="8">
        <f t="shared" si="5"/>
        <v>0.3982774079</v>
      </c>
      <c r="M93" s="8">
        <f t="shared" si="6"/>
        <v>2.389664447</v>
      </c>
      <c r="N93" s="11"/>
      <c r="O93" s="11"/>
    </row>
    <row r="94" ht="22.5" customHeight="1">
      <c r="A94" s="6" t="s">
        <v>28</v>
      </c>
      <c r="B94" s="6" t="s">
        <v>64</v>
      </c>
      <c r="C94" s="7" t="s">
        <v>48</v>
      </c>
      <c r="D94" s="6">
        <v>3.0</v>
      </c>
      <c r="E94" s="6">
        <v>28.0</v>
      </c>
      <c r="F94" s="8">
        <f t="shared" si="1"/>
        <v>8.912676813</v>
      </c>
      <c r="G94" s="8">
        <f t="shared" si="8"/>
        <v>11.72974234</v>
      </c>
      <c r="H94" s="6">
        <v>6.0</v>
      </c>
      <c r="I94" s="9">
        <v>550.0</v>
      </c>
      <c r="J94" s="10">
        <f t="shared" si="3"/>
        <v>2.788276045</v>
      </c>
      <c r="K94" s="8">
        <f t="shared" si="4"/>
        <v>0.1115310418</v>
      </c>
      <c r="L94" s="8">
        <f t="shared" si="5"/>
        <v>0.5799614173</v>
      </c>
      <c r="M94" s="8">
        <f t="shared" si="6"/>
        <v>3.479768504</v>
      </c>
      <c r="N94" s="11"/>
      <c r="O94" s="11"/>
    </row>
    <row r="95" ht="22.5" customHeight="1">
      <c r="A95" s="6" t="s">
        <v>19</v>
      </c>
      <c r="B95" s="6" t="s">
        <v>20</v>
      </c>
      <c r="C95" s="7" t="s">
        <v>21</v>
      </c>
      <c r="D95" s="6">
        <v>1.0</v>
      </c>
      <c r="E95" s="6">
        <v>28.0</v>
      </c>
      <c r="F95" s="8">
        <f t="shared" si="1"/>
        <v>8.912676813</v>
      </c>
      <c r="G95" s="8">
        <f t="shared" si="8"/>
        <v>8.912676813</v>
      </c>
      <c r="H95" s="6">
        <v>8.0</v>
      </c>
      <c r="I95" s="9">
        <v>520.0</v>
      </c>
      <c r="J95" s="10">
        <f t="shared" si="3"/>
        <v>2.044871776</v>
      </c>
      <c r="K95" s="8">
        <f t="shared" si="4"/>
        <v>0.08179487102</v>
      </c>
      <c r="L95" s="8">
        <f t="shared" si="5"/>
        <v>0.4253333293</v>
      </c>
      <c r="M95" s="8">
        <f t="shared" si="6"/>
        <v>2.551999976</v>
      </c>
      <c r="N95" s="11"/>
      <c r="O95" s="11"/>
    </row>
    <row r="96" ht="22.5" customHeight="1">
      <c r="A96" s="6" t="s">
        <v>19</v>
      </c>
      <c r="B96" s="6" t="s">
        <v>20</v>
      </c>
      <c r="C96" s="7" t="s">
        <v>21</v>
      </c>
      <c r="D96" s="6">
        <v>1.0</v>
      </c>
      <c r="E96" s="6">
        <v>28.0</v>
      </c>
      <c r="F96" s="8">
        <f t="shared" si="1"/>
        <v>8.912676813</v>
      </c>
      <c r="G96" s="8">
        <f t="shared" si="8"/>
        <v>8.912676813</v>
      </c>
      <c r="H96" s="6">
        <v>14.0</v>
      </c>
      <c r="I96" s="9">
        <v>520.0</v>
      </c>
      <c r="J96" s="10">
        <f t="shared" si="3"/>
        <v>3.530784538</v>
      </c>
      <c r="K96" s="8">
        <f t="shared" si="4"/>
        <v>0.1412313815</v>
      </c>
      <c r="L96" s="8">
        <f t="shared" si="5"/>
        <v>0.734403184</v>
      </c>
      <c r="M96" s="8">
        <f t="shared" si="6"/>
        <v>4.406419104</v>
      </c>
      <c r="N96" s="11"/>
      <c r="O96" s="11"/>
    </row>
    <row r="97" ht="22.5" customHeight="1">
      <c r="A97" s="6" t="s">
        <v>19</v>
      </c>
      <c r="B97" s="6" t="s">
        <v>20</v>
      </c>
      <c r="C97" s="7" t="s">
        <v>21</v>
      </c>
      <c r="D97" s="6">
        <v>1.0</v>
      </c>
      <c r="E97" s="6">
        <v>28.0</v>
      </c>
      <c r="F97" s="8">
        <f t="shared" si="1"/>
        <v>8.912676813</v>
      </c>
      <c r="G97" s="8">
        <f t="shared" si="8"/>
        <v>8.912676813</v>
      </c>
      <c r="H97" s="6">
        <v>8.0</v>
      </c>
      <c r="I97" s="9">
        <v>520.0</v>
      </c>
      <c r="J97" s="10">
        <f t="shared" si="3"/>
        <v>2.044871776</v>
      </c>
      <c r="K97" s="8">
        <f t="shared" si="4"/>
        <v>0.08179487102</v>
      </c>
      <c r="L97" s="8">
        <f t="shared" si="5"/>
        <v>0.4253333293</v>
      </c>
      <c r="M97" s="8">
        <f t="shared" si="6"/>
        <v>2.551999976</v>
      </c>
      <c r="N97" s="11"/>
      <c r="O97" s="11"/>
    </row>
    <row r="98" ht="22.5" customHeight="1">
      <c r="A98" s="6" t="s">
        <v>19</v>
      </c>
      <c r="B98" s="6" t="s">
        <v>20</v>
      </c>
      <c r="C98" s="7" t="s">
        <v>21</v>
      </c>
      <c r="D98" s="6">
        <v>1.0</v>
      </c>
      <c r="E98" s="6">
        <v>28.0</v>
      </c>
      <c r="F98" s="8">
        <f t="shared" si="1"/>
        <v>8.912676813</v>
      </c>
      <c r="G98" s="8">
        <f t="shared" si="8"/>
        <v>8.912676813</v>
      </c>
      <c r="H98" s="6">
        <v>15.0</v>
      </c>
      <c r="I98" s="9">
        <v>520.0</v>
      </c>
      <c r="J98" s="10">
        <f t="shared" si="3"/>
        <v>3.776724644</v>
      </c>
      <c r="K98" s="8">
        <f t="shared" si="4"/>
        <v>0.1510689858</v>
      </c>
      <c r="L98" s="8">
        <f t="shared" si="5"/>
        <v>0.7855587259</v>
      </c>
      <c r="M98" s="8">
        <f t="shared" si="6"/>
        <v>4.713352356</v>
      </c>
      <c r="N98" s="11"/>
      <c r="O98" s="11"/>
    </row>
    <row r="99" ht="22.5" customHeight="1">
      <c r="A99" s="6" t="s">
        <v>19</v>
      </c>
      <c r="B99" s="6" t="s">
        <v>20</v>
      </c>
      <c r="C99" s="7" t="s">
        <v>21</v>
      </c>
      <c r="D99" s="6">
        <v>1.0</v>
      </c>
      <c r="E99" s="6">
        <v>28.0</v>
      </c>
      <c r="F99" s="8">
        <f t="shared" si="1"/>
        <v>8.912676813</v>
      </c>
      <c r="G99" s="8">
        <f t="shared" si="8"/>
        <v>8.912676813</v>
      </c>
      <c r="H99" s="6">
        <v>11.0</v>
      </c>
      <c r="I99" s="9">
        <v>520.0</v>
      </c>
      <c r="J99" s="10">
        <f t="shared" si="3"/>
        <v>2.790291101</v>
      </c>
      <c r="K99" s="8">
        <f t="shared" si="4"/>
        <v>0.111611644</v>
      </c>
      <c r="L99" s="8">
        <f t="shared" si="5"/>
        <v>0.580380549</v>
      </c>
      <c r="M99" s="8">
        <f t="shared" si="6"/>
        <v>3.482283294</v>
      </c>
      <c r="N99" s="11"/>
      <c r="O99" s="11"/>
    </row>
    <row r="100" ht="22.5" customHeight="1">
      <c r="A100" s="6" t="s">
        <v>19</v>
      </c>
      <c r="B100" s="6" t="s">
        <v>20</v>
      </c>
      <c r="C100" s="7" t="s">
        <v>21</v>
      </c>
      <c r="D100" s="6">
        <v>1.0</v>
      </c>
      <c r="E100" s="6">
        <v>28.0</v>
      </c>
      <c r="F100" s="8">
        <f t="shared" si="1"/>
        <v>8.912676813</v>
      </c>
      <c r="G100" s="8">
        <f t="shared" si="8"/>
        <v>8.912676813</v>
      </c>
      <c r="H100" s="6">
        <v>11.0</v>
      </c>
      <c r="I100" s="9">
        <v>520.0</v>
      </c>
      <c r="J100" s="10">
        <f t="shared" si="3"/>
        <v>2.790291101</v>
      </c>
      <c r="K100" s="8">
        <f t="shared" si="4"/>
        <v>0.111611644</v>
      </c>
      <c r="L100" s="8">
        <f t="shared" si="5"/>
        <v>0.580380549</v>
      </c>
      <c r="M100" s="8">
        <f t="shared" si="6"/>
        <v>3.482283294</v>
      </c>
      <c r="N100" s="11"/>
      <c r="O100" s="11"/>
    </row>
    <row r="101" ht="22.5" customHeight="1">
      <c r="A101" s="6" t="s">
        <v>19</v>
      </c>
      <c r="B101" s="6" t="s">
        <v>20</v>
      </c>
      <c r="C101" s="7" t="s">
        <v>21</v>
      </c>
      <c r="D101" s="6">
        <v>1.0</v>
      </c>
      <c r="E101" s="6">
        <v>28.0</v>
      </c>
      <c r="F101" s="8">
        <f t="shared" si="1"/>
        <v>8.912676813</v>
      </c>
      <c r="G101" s="8">
        <f t="shared" si="8"/>
        <v>8.912676813</v>
      </c>
      <c r="H101" s="6">
        <v>11.0</v>
      </c>
      <c r="I101" s="9">
        <v>520.0</v>
      </c>
      <c r="J101" s="10">
        <f t="shared" si="3"/>
        <v>2.790291101</v>
      </c>
      <c r="K101" s="8">
        <f t="shared" si="4"/>
        <v>0.111611644</v>
      </c>
      <c r="L101" s="8">
        <f t="shared" si="5"/>
        <v>0.580380549</v>
      </c>
      <c r="M101" s="8">
        <f t="shared" si="6"/>
        <v>3.482283294</v>
      </c>
      <c r="N101" s="11"/>
      <c r="O101" s="11"/>
    </row>
    <row r="102" ht="22.5" customHeight="1">
      <c r="A102" s="6" t="s">
        <v>19</v>
      </c>
      <c r="B102" s="6" t="s">
        <v>20</v>
      </c>
      <c r="C102" s="7" t="s">
        <v>21</v>
      </c>
      <c r="D102" s="6">
        <v>1.0</v>
      </c>
      <c r="E102" s="6">
        <v>29.0</v>
      </c>
      <c r="F102" s="8">
        <f t="shared" si="1"/>
        <v>9.230986699</v>
      </c>
      <c r="G102" s="8">
        <f t="shared" si="8"/>
        <v>9.230986699</v>
      </c>
      <c r="H102" s="6">
        <v>15.0</v>
      </c>
      <c r="I102" s="9">
        <v>520.0</v>
      </c>
      <c r="J102" s="10">
        <f t="shared" si="3"/>
        <v>4.044489729</v>
      </c>
      <c r="K102" s="8">
        <f t="shared" si="4"/>
        <v>0.1617795892</v>
      </c>
      <c r="L102" s="8">
        <f t="shared" si="5"/>
        <v>0.8412538636</v>
      </c>
      <c r="M102" s="8">
        <f t="shared" si="6"/>
        <v>5.047523182</v>
      </c>
      <c r="N102" s="11"/>
      <c r="O102" s="11"/>
    </row>
    <row r="103" ht="22.5" customHeight="1">
      <c r="A103" s="6" t="s">
        <v>19</v>
      </c>
      <c r="B103" s="6" t="s">
        <v>20</v>
      </c>
      <c r="C103" s="7" t="s">
        <v>21</v>
      </c>
      <c r="D103" s="6">
        <v>1.0</v>
      </c>
      <c r="E103" s="6">
        <v>29.0</v>
      </c>
      <c r="F103" s="8">
        <f t="shared" si="1"/>
        <v>9.230986699</v>
      </c>
      <c r="G103" s="8">
        <f t="shared" si="8"/>
        <v>9.230986699</v>
      </c>
      <c r="H103" s="6">
        <v>8.0</v>
      </c>
      <c r="I103" s="9">
        <v>520.0</v>
      </c>
      <c r="J103" s="10">
        <f t="shared" si="3"/>
        <v>2.189850644</v>
      </c>
      <c r="K103" s="8">
        <f t="shared" si="4"/>
        <v>0.08759402575</v>
      </c>
      <c r="L103" s="8">
        <f t="shared" si="5"/>
        <v>0.4554889339</v>
      </c>
      <c r="M103" s="8">
        <f t="shared" si="6"/>
        <v>2.732933604</v>
      </c>
      <c r="N103" s="11"/>
      <c r="O103" s="11"/>
    </row>
    <row r="104" ht="22.5" customHeight="1">
      <c r="A104" s="6" t="s">
        <v>31</v>
      </c>
      <c r="B104" s="6" t="s">
        <v>38</v>
      </c>
      <c r="C104" s="7" t="s">
        <v>39</v>
      </c>
      <c r="D104" s="6">
        <v>4.0</v>
      </c>
      <c r="E104" s="6">
        <v>29.0</v>
      </c>
      <c r="F104" s="8">
        <f t="shared" si="1"/>
        <v>9.230986699</v>
      </c>
      <c r="G104" s="8">
        <f t="shared" si="8"/>
        <v>13.05458658</v>
      </c>
      <c r="H104" s="6">
        <v>8.0</v>
      </c>
      <c r="I104" s="9">
        <v>670.0</v>
      </c>
      <c r="J104" s="10">
        <f t="shared" si="3"/>
        <v>5.516320808</v>
      </c>
      <c r="K104" s="8">
        <f t="shared" si="4"/>
        <v>0.2206528323</v>
      </c>
      <c r="L104" s="8">
        <f t="shared" si="5"/>
        <v>1.147394728</v>
      </c>
      <c r="M104" s="8">
        <f t="shared" si="6"/>
        <v>6.884368368</v>
      </c>
      <c r="N104" s="11"/>
      <c r="O104" s="11"/>
    </row>
    <row r="105" ht="22.5" customHeight="1">
      <c r="A105" s="6" t="s">
        <v>27</v>
      </c>
      <c r="B105" s="6" t="s">
        <v>59</v>
      </c>
      <c r="C105" s="7" t="s">
        <v>36</v>
      </c>
      <c r="D105" s="6">
        <v>1.0</v>
      </c>
      <c r="E105" s="6">
        <v>30.0</v>
      </c>
      <c r="F105" s="8">
        <f t="shared" si="1"/>
        <v>9.549296586</v>
      </c>
      <c r="G105" s="8">
        <f t="shared" si="8"/>
        <v>9.549296586</v>
      </c>
      <c r="H105" s="6">
        <v>9.0</v>
      </c>
      <c r="I105" s="9">
        <v>690.0</v>
      </c>
      <c r="J105" s="10">
        <f t="shared" si="3"/>
        <v>3.459207419</v>
      </c>
      <c r="K105" s="8">
        <f t="shared" si="4"/>
        <v>0.1383682968</v>
      </c>
      <c r="L105" s="8">
        <f t="shared" si="5"/>
        <v>0.7195151432</v>
      </c>
      <c r="M105" s="8">
        <f t="shared" si="6"/>
        <v>4.317090859</v>
      </c>
      <c r="N105" s="11"/>
      <c r="O105" s="11"/>
    </row>
    <row r="106" ht="22.5" customHeight="1">
      <c r="A106" s="6" t="s">
        <v>26</v>
      </c>
      <c r="B106" s="6" t="s">
        <v>59</v>
      </c>
      <c r="C106" s="7" t="s">
        <v>36</v>
      </c>
      <c r="D106" s="6">
        <v>3.0</v>
      </c>
      <c r="E106" s="6">
        <v>30.0</v>
      </c>
      <c r="F106" s="8">
        <f t="shared" si="1"/>
        <v>9.549296586</v>
      </c>
      <c r="G106" s="8">
        <f t="shared" si="8"/>
        <v>12.56758108</v>
      </c>
      <c r="H106" s="6">
        <v>11.0</v>
      </c>
      <c r="I106" s="9">
        <v>690.0</v>
      </c>
      <c r="J106" s="10">
        <f t="shared" si="3"/>
        <v>7.192342287</v>
      </c>
      <c r="K106" s="8">
        <f t="shared" si="4"/>
        <v>0.2876936915</v>
      </c>
      <c r="L106" s="8">
        <f t="shared" si="5"/>
        <v>1.496007196</v>
      </c>
      <c r="M106" s="8">
        <f t="shared" si="6"/>
        <v>8.976043175</v>
      </c>
      <c r="N106" s="11"/>
      <c r="O106" s="11"/>
    </row>
    <row r="107" ht="22.5" customHeight="1">
      <c r="A107" s="6" t="s">
        <v>25</v>
      </c>
      <c r="B107" s="6" t="s">
        <v>68</v>
      </c>
      <c r="C107" s="7" t="s">
        <v>43</v>
      </c>
      <c r="D107" s="6">
        <v>2.0</v>
      </c>
      <c r="E107" s="6">
        <v>30.0</v>
      </c>
      <c r="F107" s="8">
        <f t="shared" si="1"/>
        <v>9.549296586</v>
      </c>
      <c r="G107" s="8">
        <f t="shared" si="8"/>
        <v>11.35609144</v>
      </c>
      <c r="H107" s="6">
        <v>9.0</v>
      </c>
      <c r="I107" s="9">
        <v>630.0</v>
      </c>
      <c r="J107" s="10">
        <f t="shared" si="3"/>
        <v>4.439345083</v>
      </c>
      <c r="K107" s="8">
        <f t="shared" si="4"/>
        <v>0.1775738033</v>
      </c>
      <c r="L107" s="8">
        <f t="shared" si="5"/>
        <v>0.9233837773</v>
      </c>
      <c r="M107" s="8">
        <f t="shared" si="6"/>
        <v>5.540302664</v>
      </c>
      <c r="N107" s="11"/>
      <c r="O107" s="11"/>
    </row>
    <row r="108" ht="22.5" customHeight="1">
      <c r="A108" s="6" t="s">
        <v>19</v>
      </c>
      <c r="B108" s="6" t="s">
        <v>61</v>
      </c>
      <c r="C108" s="7" t="s">
        <v>34</v>
      </c>
      <c r="D108" s="6">
        <v>1.0</v>
      </c>
      <c r="E108" s="6">
        <v>30.0</v>
      </c>
      <c r="F108" s="8">
        <f t="shared" si="1"/>
        <v>9.549296586</v>
      </c>
      <c r="G108" s="8">
        <f t="shared" si="8"/>
        <v>9.549296586</v>
      </c>
      <c r="H108" s="6">
        <v>11.0</v>
      </c>
      <c r="I108" s="9">
        <v>520.0</v>
      </c>
      <c r="J108" s="10">
        <f t="shared" si="3"/>
        <v>3.192550135</v>
      </c>
      <c r="K108" s="8">
        <f t="shared" si="4"/>
        <v>0.1277020054</v>
      </c>
      <c r="L108" s="8">
        <f t="shared" si="5"/>
        <v>0.6640504281</v>
      </c>
      <c r="M108" s="8">
        <f t="shared" si="6"/>
        <v>3.984302568</v>
      </c>
      <c r="N108" s="11"/>
      <c r="O108" s="11"/>
    </row>
    <row r="109" ht="22.5" customHeight="1">
      <c r="A109" s="6" t="s">
        <v>19</v>
      </c>
      <c r="B109" s="6" t="s">
        <v>20</v>
      </c>
      <c r="C109" s="7" t="s">
        <v>21</v>
      </c>
      <c r="D109" s="6">
        <v>1.0</v>
      </c>
      <c r="E109" s="6">
        <v>30.0</v>
      </c>
      <c r="F109" s="8">
        <f t="shared" si="1"/>
        <v>9.549296586</v>
      </c>
      <c r="G109" s="8">
        <f t="shared" si="8"/>
        <v>9.549296586</v>
      </c>
      <c r="H109" s="6">
        <v>11.0</v>
      </c>
      <c r="I109" s="9">
        <v>520.0</v>
      </c>
      <c r="J109" s="10">
        <f t="shared" si="3"/>
        <v>3.192550135</v>
      </c>
      <c r="K109" s="8">
        <f t="shared" si="4"/>
        <v>0.1277020054</v>
      </c>
      <c r="L109" s="8">
        <f t="shared" si="5"/>
        <v>0.6640504281</v>
      </c>
      <c r="M109" s="8">
        <f t="shared" si="6"/>
        <v>3.984302568</v>
      </c>
      <c r="N109" s="11"/>
      <c r="O109" s="11"/>
    </row>
    <row r="110" ht="22.5" customHeight="1">
      <c r="A110" s="6" t="s">
        <v>19</v>
      </c>
      <c r="B110" s="6" t="s">
        <v>20</v>
      </c>
      <c r="C110" s="7" t="s">
        <v>21</v>
      </c>
      <c r="D110" s="6">
        <v>1.0</v>
      </c>
      <c r="E110" s="6">
        <v>30.0</v>
      </c>
      <c r="F110" s="8">
        <f t="shared" si="1"/>
        <v>9.549296586</v>
      </c>
      <c r="G110" s="8">
        <f t="shared" si="8"/>
        <v>9.549296586</v>
      </c>
      <c r="H110" s="6">
        <v>13.0</v>
      </c>
      <c r="I110" s="9">
        <v>520.0</v>
      </c>
      <c r="J110" s="10">
        <f t="shared" si="3"/>
        <v>3.757916943</v>
      </c>
      <c r="K110" s="8">
        <f t="shared" si="4"/>
        <v>0.1503166777</v>
      </c>
      <c r="L110" s="8">
        <f t="shared" si="5"/>
        <v>0.7816467242</v>
      </c>
      <c r="M110" s="8">
        <f t="shared" si="6"/>
        <v>4.689880345</v>
      </c>
      <c r="N110" s="11"/>
      <c r="O110" s="11"/>
    </row>
    <row r="111" ht="22.5" customHeight="1">
      <c r="A111" s="6" t="s">
        <v>19</v>
      </c>
      <c r="B111" s="6" t="s">
        <v>20</v>
      </c>
      <c r="C111" s="7" t="s">
        <v>21</v>
      </c>
      <c r="D111" s="6">
        <v>1.0</v>
      </c>
      <c r="E111" s="6">
        <v>30.0</v>
      </c>
      <c r="F111" s="8">
        <f t="shared" si="1"/>
        <v>9.549296586</v>
      </c>
      <c r="G111" s="8">
        <f t="shared" si="8"/>
        <v>9.549296586</v>
      </c>
      <c r="H111" s="6">
        <v>10.0</v>
      </c>
      <c r="I111" s="9">
        <v>520.0</v>
      </c>
      <c r="J111" s="10">
        <f t="shared" si="3"/>
        <v>2.908964795</v>
      </c>
      <c r="K111" s="8">
        <f t="shared" si="4"/>
        <v>0.1163585918</v>
      </c>
      <c r="L111" s="8">
        <f t="shared" si="5"/>
        <v>0.6050646773</v>
      </c>
      <c r="M111" s="8">
        <f t="shared" si="6"/>
        <v>3.630388064</v>
      </c>
      <c r="N111" s="11"/>
      <c r="O111" s="11"/>
    </row>
    <row r="112" ht="22.5" customHeight="1">
      <c r="A112" s="6" t="s">
        <v>19</v>
      </c>
      <c r="B112" s="6" t="s">
        <v>20</v>
      </c>
      <c r="C112" s="7" t="s">
        <v>21</v>
      </c>
      <c r="D112" s="6">
        <v>1.0</v>
      </c>
      <c r="E112" s="6">
        <v>30.0</v>
      </c>
      <c r="F112" s="8">
        <f t="shared" si="1"/>
        <v>9.549296586</v>
      </c>
      <c r="G112" s="8">
        <f t="shared" si="8"/>
        <v>9.549296586</v>
      </c>
      <c r="H112" s="6">
        <v>8.0</v>
      </c>
      <c r="I112" s="9">
        <v>520.0</v>
      </c>
      <c r="J112" s="10">
        <f t="shared" si="3"/>
        <v>2.339668309</v>
      </c>
      <c r="K112" s="8">
        <f t="shared" si="4"/>
        <v>0.09358673238</v>
      </c>
      <c r="L112" s="8">
        <f t="shared" si="5"/>
        <v>0.4866510084</v>
      </c>
      <c r="M112" s="8">
        <f t="shared" si="6"/>
        <v>2.91990605</v>
      </c>
      <c r="N112" s="11"/>
      <c r="O112" s="11"/>
    </row>
    <row r="113" ht="22.5" customHeight="1">
      <c r="A113" s="6" t="s">
        <v>19</v>
      </c>
      <c r="B113" s="6" t="s">
        <v>57</v>
      </c>
      <c r="C113" s="7" t="s">
        <v>51</v>
      </c>
      <c r="D113" s="6">
        <v>1.0</v>
      </c>
      <c r="E113" s="6">
        <v>30.0</v>
      </c>
      <c r="F113" s="8">
        <f t="shared" si="1"/>
        <v>9.549296586</v>
      </c>
      <c r="G113" s="8">
        <f t="shared" si="8"/>
        <v>9.549296586</v>
      </c>
      <c r="H113" s="6">
        <v>10.0</v>
      </c>
      <c r="I113" s="9">
        <v>560.0</v>
      </c>
      <c r="J113" s="10">
        <f t="shared" si="3"/>
        <v>3.127164421</v>
      </c>
      <c r="K113" s="8">
        <f t="shared" si="4"/>
        <v>0.1250865768</v>
      </c>
      <c r="L113" s="8">
        <f t="shared" si="5"/>
        <v>0.6504501995</v>
      </c>
      <c r="M113" s="8">
        <f t="shared" si="6"/>
        <v>3.902701197</v>
      </c>
      <c r="N113" s="11"/>
      <c r="O113" s="11"/>
    </row>
    <row r="114" ht="22.5" customHeight="1">
      <c r="A114" s="6" t="s">
        <v>19</v>
      </c>
      <c r="B114" s="6" t="s">
        <v>69</v>
      </c>
      <c r="C114" s="7" t="s">
        <v>51</v>
      </c>
      <c r="D114" s="6">
        <v>1.0</v>
      </c>
      <c r="E114" s="6">
        <v>30.0</v>
      </c>
      <c r="F114" s="8">
        <f t="shared" si="1"/>
        <v>9.549296586</v>
      </c>
      <c r="G114" s="8">
        <f t="shared" si="8"/>
        <v>9.549296586</v>
      </c>
      <c r="H114" s="6">
        <v>8.0</v>
      </c>
      <c r="I114" s="9">
        <v>560.0</v>
      </c>
      <c r="J114" s="10">
        <f t="shared" si="3"/>
        <v>2.515165363</v>
      </c>
      <c r="K114" s="8">
        <f t="shared" si="4"/>
        <v>0.1006066145</v>
      </c>
      <c r="L114" s="8">
        <f t="shared" si="5"/>
        <v>0.5231543955</v>
      </c>
      <c r="M114" s="8">
        <f t="shared" si="6"/>
        <v>3.138926373</v>
      </c>
      <c r="N114" s="11"/>
      <c r="O114" s="11"/>
    </row>
    <row r="115" ht="22.5" customHeight="1">
      <c r="A115" s="6" t="s">
        <v>19</v>
      </c>
      <c r="B115" s="6" t="s">
        <v>20</v>
      </c>
      <c r="C115" s="7" t="s">
        <v>21</v>
      </c>
      <c r="D115" s="6">
        <v>1.0</v>
      </c>
      <c r="E115" s="6">
        <v>31.0</v>
      </c>
      <c r="F115" s="8">
        <f t="shared" si="1"/>
        <v>9.867606472</v>
      </c>
      <c r="G115" s="8">
        <f t="shared" si="8"/>
        <v>9.867606472</v>
      </c>
      <c r="H115" s="6">
        <v>13.0</v>
      </c>
      <c r="I115" s="9">
        <v>520.0</v>
      </c>
      <c r="J115" s="10">
        <f t="shared" si="3"/>
        <v>4.006309661</v>
      </c>
      <c r="K115" s="8">
        <f t="shared" si="4"/>
        <v>0.1602523864</v>
      </c>
      <c r="L115" s="8">
        <f t="shared" si="5"/>
        <v>0.8333124095</v>
      </c>
      <c r="M115" s="8">
        <f t="shared" si="6"/>
        <v>4.999874457</v>
      </c>
      <c r="N115" s="11"/>
      <c r="O115" s="11"/>
    </row>
    <row r="116" ht="22.5" customHeight="1">
      <c r="A116" s="6" t="s">
        <v>19</v>
      </c>
      <c r="B116" s="6" t="s">
        <v>20</v>
      </c>
      <c r="C116" s="7" t="s">
        <v>21</v>
      </c>
      <c r="D116" s="6">
        <v>1.0</v>
      </c>
      <c r="E116" s="6">
        <v>31.0</v>
      </c>
      <c r="F116" s="8">
        <f t="shared" si="1"/>
        <v>9.867606472</v>
      </c>
      <c r="G116" s="8">
        <f t="shared" si="8"/>
        <v>9.867606472</v>
      </c>
      <c r="H116" s="6">
        <v>14.0</v>
      </c>
      <c r="I116" s="9">
        <v>520.0</v>
      </c>
      <c r="J116" s="10">
        <f t="shared" si="3"/>
        <v>4.306820438</v>
      </c>
      <c r="K116" s="8">
        <f t="shared" si="4"/>
        <v>0.1722728175</v>
      </c>
      <c r="L116" s="8">
        <f t="shared" si="5"/>
        <v>0.895818651</v>
      </c>
      <c r="M116" s="8">
        <f t="shared" si="6"/>
        <v>5.374911906</v>
      </c>
      <c r="N116" s="11"/>
      <c r="O116" s="11"/>
    </row>
    <row r="117" ht="22.5" customHeight="1">
      <c r="A117" s="6" t="s">
        <v>28</v>
      </c>
      <c r="B117" s="6" t="s">
        <v>57</v>
      </c>
      <c r="C117" s="7" t="s">
        <v>51</v>
      </c>
      <c r="D117" s="6">
        <v>3.0</v>
      </c>
      <c r="E117" s="6">
        <v>31.0</v>
      </c>
      <c r="F117" s="8">
        <f t="shared" si="1"/>
        <v>9.867606472</v>
      </c>
      <c r="G117" s="8">
        <f t="shared" si="8"/>
        <v>12.98650045</v>
      </c>
      <c r="H117" s="6">
        <v>12.0</v>
      </c>
      <c r="I117" s="9">
        <v>560.0</v>
      </c>
      <c r="J117" s="10">
        <f t="shared" si="3"/>
        <v>6.808698791</v>
      </c>
      <c r="K117" s="8">
        <f t="shared" si="4"/>
        <v>0.2723479516</v>
      </c>
      <c r="L117" s="8">
        <f t="shared" si="5"/>
        <v>1.416209348</v>
      </c>
      <c r="M117" s="8">
        <f t="shared" si="6"/>
        <v>8.497256091</v>
      </c>
      <c r="N117" s="11"/>
      <c r="O117" s="11"/>
    </row>
    <row r="118" ht="22.5" customHeight="1">
      <c r="A118" s="6" t="s">
        <v>19</v>
      </c>
      <c r="B118" s="6" t="s">
        <v>59</v>
      </c>
      <c r="C118" s="7" t="s">
        <v>36</v>
      </c>
      <c r="D118" s="6">
        <v>1.0</v>
      </c>
      <c r="E118" s="6">
        <v>32.0</v>
      </c>
      <c r="F118" s="8">
        <f t="shared" si="1"/>
        <v>10.18591636</v>
      </c>
      <c r="G118" s="8">
        <f t="shared" si="8"/>
        <v>10.18591636</v>
      </c>
      <c r="H118" s="6">
        <v>11.0</v>
      </c>
      <c r="I118" s="9">
        <v>690.0</v>
      </c>
      <c r="J118" s="10">
        <f t="shared" si="3"/>
        <v>4.772514359</v>
      </c>
      <c r="K118" s="8">
        <f t="shared" si="4"/>
        <v>0.1909005743</v>
      </c>
      <c r="L118" s="8">
        <f t="shared" si="5"/>
        <v>0.9926829866</v>
      </c>
      <c r="M118" s="8">
        <f t="shared" si="6"/>
        <v>5.956097919</v>
      </c>
      <c r="N118" s="11"/>
      <c r="O118" s="11"/>
    </row>
    <row r="119" ht="22.5" customHeight="1">
      <c r="A119" s="6" t="s">
        <v>19</v>
      </c>
      <c r="B119" s="6" t="s">
        <v>59</v>
      </c>
      <c r="C119" s="7" t="s">
        <v>36</v>
      </c>
      <c r="D119" s="6">
        <v>2.0</v>
      </c>
      <c r="E119" s="6">
        <v>32.0</v>
      </c>
      <c r="F119" s="8">
        <f t="shared" si="1"/>
        <v>10.18591636</v>
      </c>
      <c r="G119" s="8">
        <f t="shared" si="8"/>
        <v>12.11316421</v>
      </c>
      <c r="H119" s="6">
        <v>10.0</v>
      </c>
      <c r="I119" s="9">
        <v>690.0</v>
      </c>
      <c r="J119" s="10">
        <f t="shared" si="3"/>
        <v>6.098887478</v>
      </c>
      <c r="K119" s="8">
        <f t="shared" si="4"/>
        <v>0.2439554991</v>
      </c>
      <c r="L119" s="8">
        <f t="shared" si="5"/>
        <v>1.268568595</v>
      </c>
      <c r="M119" s="8">
        <f t="shared" si="6"/>
        <v>7.611411572</v>
      </c>
      <c r="N119" s="11"/>
      <c r="O119" s="11"/>
    </row>
    <row r="120" ht="22.5" customHeight="1">
      <c r="A120" s="6" t="s">
        <v>26</v>
      </c>
      <c r="B120" s="6" t="s">
        <v>68</v>
      </c>
      <c r="C120" s="7" t="s">
        <v>43</v>
      </c>
      <c r="D120" s="6">
        <v>3.0</v>
      </c>
      <c r="E120" s="6">
        <v>32.0</v>
      </c>
      <c r="F120" s="8">
        <f t="shared" si="1"/>
        <v>10.18591636</v>
      </c>
      <c r="G120" s="8">
        <f t="shared" si="8"/>
        <v>13.40541982</v>
      </c>
      <c r="H120" s="6">
        <v>9.0</v>
      </c>
      <c r="I120" s="9">
        <v>630.0</v>
      </c>
      <c r="J120" s="10">
        <f t="shared" si="3"/>
        <v>6.137104357</v>
      </c>
      <c r="K120" s="8">
        <f t="shared" si="4"/>
        <v>0.2454841743</v>
      </c>
      <c r="L120" s="8">
        <f t="shared" si="5"/>
        <v>1.276517706</v>
      </c>
      <c r="M120" s="8">
        <f t="shared" si="6"/>
        <v>7.659106237</v>
      </c>
      <c r="N120" s="11"/>
      <c r="O120" s="11"/>
    </row>
    <row r="121" ht="22.5" customHeight="1">
      <c r="A121" s="6" t="s">
        <v>19</v>
      </c>
      <c r="B121" s="6" t="s">
        <v>53</v>
      </c>
      <c r="C121" s="7" t="s">
        <v>34</v>
      </c>
      <c r="D121" s="6">
        <v>4.0</v>
      </c>
      <c r="E121" s="6">
        <v>32.0</v>
      </c>
      <c r="F121" s="8">
        <f t="shared" si="1"/>
        <v>10.18591636</v>
      </c>
      <c r="G121" s="8">
        <f t="shared" si="8"/>
        <v>14.40506106</v>
      </c>
      <c r="H121" s="6">
        <v>8.0</v>
      </c>
      <c r="I121" s="9">
        <v>520.0</v>
      </c>
      <c r="J121" s="10">
        <f t="shared" si="3"/>
        <v>5.220013628</v>
      </c>
      <c r="K121" s="8">
        <f t="shared" si="4"/>
        <v>0.2088005451</v>
      </c>
      <c r="L121" s="8">
        <f t="shared" si="5"/>
        <v>1.085762835</v>
      </c>
      <c r="M121" s="8">
        <f t="shared" si="6"/>
        <v>6.514577008</v>
      </c>
      <c r="N121" s="11"/>
      <c r="O121" s="11"/>
    </row>
    <row r="122" ht="22.5" customHeight="1">
      <c r="A122" s="6" t="s">
        <v>27</v>
      </c>
      <c r="B122" s="6" t="s">
        <v>64</v>
      </c>
      <c r="C122" s="7" t="s">
        <v>48</v>
      </c>
      <c r="D122" s="6">
        <v>3.0</v>
      </c>
      <c r="E122" s="6">
        <v>32.0</v>
      </c>
      <c r="F122" s="8">
        <f t="shared" si="1"/>
        <v>10.18591636</v>
      </c>
      <c r="G122" s="8">
        <f t="shared" si="8"/>
        <v>13.40541982</v>
      </c>
      <c r="H122" s="6">
        <v>5.0</v>
      </c>
      <c r="I122" s="9">
        <v>550.0</v>
      </c>
      <c r="J122" s="10">
        <f t="shared" si="3"/>
        <v>3.028692289</v>
      </c>
      <c r="K122" s="8">
        <f t="shared" si="4"/>
        <v>0.1211476916</v>
      </c>
      <c r="L122" s="8">
        <f t="shared" si="5"/>
        <v>0.6299679962</v>
      </c>
      <c r="M122" s="8">
        <f t="shared" si="6"/>
        <v>3.779807977</v>
      </c>
      <c r="N122" s="11"/>
      <c r="O122" s="11"/>
    </row>
    <row r="123" ht="22.5" customHeight="1">
      <c r="A123" s="6" t="s">
        <v>30</v>
      </c>
      <c r="B123" s="6" t="s">
        <v>70</v>
      </c>
      <c r="C123" s="7" t="s">
        <v>49</v>
      </c>
      <c r="D123" s="6">
        <v>2.0</v>
      </c>
      <c r="E123" s="6">
        <v>32.0</v>
      </c>
      <c r="F123" s="8">
        <f t="shared" si="1"/>
        <v>10.18591636</v>
      </c>
      <c r="G123" s="8">
        <f t="shared" si="8"/>
        <v>12.11316421</v>
      </c>
      <c r="H123" s="6">
        <v>11.0</v>
      </c>
      <c r="I123" s="9">
        <v>560.0</v>
      </c>
      <c r="J123" s="10">
        <f t="shared" si="3"/>
        <v>5.459648503</v>
      </c>
      <c r="K123" s="8">
        <f t="shared" si="4"/>
        <v>0.2183859401</v>
      </c>
      <c r="L123" s="8">
        <f t="shared" si="5"/>
        <v>1.135606889</v>
      </c>
      <c r="M123" s="8">
        <f t="shared" si="6"/>
        <v>6.813641332</v>
      </c>
      <c r="N123" s="11"/>
      <c r="O123" s="11"/>
    </row>
    <row r="124" ht="22.5" customHeight="1">
      <c r="A124" s="6" t="s">
        <v>19</v>
      </c>
      <c r="B124" s="6" t="s">
        <v>20</v>
      </c>
      <c r="C124" s="7" t="s">
        <v>21</v>
      </c>
      <c r="D124" s="6">
        <v>1.0</v>
      </c>
      <c r="E124" s="6">
        <v>32.0</v>
      </c>
      <c r="F124" s="8">
        <f t="shared" si="1"/>
        <v>10.18591636</v>
      </c>
      <c r="G124" s="8">
        <f t="shared" si="8"/>
        <v>10.18591636</v>
      </c>
      <c r="H124" s="6">
        <v>11.0</v>
      </c>
      <c r="I124" s="9">
        <v>520.0</v>
      </c>
      <c r="J124" s="10">
        <f t="shared" si="3"/>
        <v>3.621177344</v>
      </c>
      <c r="K124" s="8">
        <f t="shared" si="4"/>
        <v>0.1448470938</v>
      </c>
      <c r="L124" s="8">
        <f t="shared" si="5"/>
        <v>0.7532048875</v>
      </c>
      <c r="M124" s="8">
        <f t="shared" si="6"/>
        <v>4.519229325</v>
      </c>
      <c r="N124" s="11"/>
      <c r="O124" s="11"/>
    </row>
    <row r="125" ht="22.5" customHeight="1">
      <c r="A125" s="6" t="s">
        <v>19</v>
      </c>
      <c r="B125" s="6" t="s">
        <v>20</v>
      </c>
      <c r="C125" s="7" t="s">
        <v>21</v>
      </c>
      <c r="D125" s="6">
        <v>1.0</v>
      </c>
      <c r="E125" s="6">
        <v>32.0</v>
      </c>
      <c r="F125" s="8">
        <f t="shared" si="1"/>
        <v>10.18591636</v>
      </c>
      <c r="G125" s="8">
        <f t="shared" si="8"/>
        <v>10.18591636</v>
      </c>
      <c r="H125" s="6">
        <v>8.0</v>
      </c>
      <c r="I125" s="9">
        <v>520.0</v>
      </c>
      <c r="J125" s="10">
        <f t="shared" si="3"/>
        <v>2.653788826</v>
      </c>
      <c r="K125" s="8">
        <f t="shared" si="4"/>
        <v>0.106151553</v>
      </c>
      <c r="L125" s="8">
        <f t="shared" si="5"/>
        <v>0.5519880758</v>
      </c>
      <c r="M125" s="8">
        <f t="shared" si="6"/>
        <v>3.311928455</v>
      </c>
      <c r="N125" s="11"/>
      <c r="O125" s="11"/>
    </row>
    <row r="126" ht="22.5" customHeight="1">
      <c r="A126" s="6" t="s">
        <v>19</v>
      </c>
      <c r="B126" s="6" t="s">
        <v>20</v>
      </c>
      <c r="C126" s="7" t="s">
        <v>21</v>
      </c>
      <c r="D126" s="6">
        <v>2.0</v>
      </c>
      <c r="E126" s="6">
        <v>32.0</v>
      </c>
      <c r="F126" s="8">
        <f t="shared" si="1"/>
        <v>10.18591636</v>
      </c>
      <c r="G126" s="8">
        <f t="shared" si="8"/>
        <v>12.11316421</v>
      </c>
      <c r="H126" s="6">
        <v>9.0</v>
      </c>
      <c r="I126" s="9">
        <v>520.0</v>
      </c>
      <c r="J126" s="10">
        <f t="shared" si="3"/>
        <v>4.175359371</v>
      </c>
      <c r="K126" s="8">
        <f t="shared" si="4"/>
        <v>0.1670143748</v>
      </c>
      <c r="L126" s="8">
        <f t="shared" si="5"/>
        <v>0.8684747491</v>
      </c>
      <c r="M126" s="8">
        <f t="shared" si="6"/>
        <v>5.210848495</v>
      </c>
      <c r="N126" s="11"/>
      <c r="O126" s="11"/>
    </row>
    <row r="127" ht="22.5" customHeight="1">
      <c r="A127" s="6" t="s">
        <v>19</v>
      </c>
      <c r="B127" s="6" t="s">
        <v>20</v>
      </c>
      <c r="C127" s="7" t="s">
        <v>21</v>
      </c>
      <c r="D127" s="6">
        <v>2.0</v>
      </c>
      <c r="E127" s="6">
        <v>32.0</v>
      </c>
      <c r="F127" s="8">
        <f t="shared" si="1"/>
        <v>10.18591636</v>
      </c>
      <c r="G127" s="8">
        <f t="shared" si="8"/>
        <v>12.11316421</v>
      </c>
      <c r="H127" s="6">
        <v>15.0</v>
      </c>
      <c r="I127" s="9">
        <v>520.0</v>
      </c>
      <c r="J127" s="10">
        <f t="shared" si="3"/>
        <v>6.874137906</v>
      </c>
      <c r="K127" s="8">
        <f t="shared" si="4"/>
        <v>0.2749655162</v>
      </c>
      <c r="L127" s="8">
        <f t="shared" si="5"/>
        <v>1.429820684</v>
      </c>
      <c r="M127" s="8">
        <f t="shared" si="6"/>
        <v>8.578924107</v>
      </c>
      <c r="N127" s="11"/>
      <c r="O127" s="11"/>
    </row>
    <row r="128" ht="22.5" customHeight="1">
      <c r="A128" s="6" t="s">
        <v>29</v>
      </c>
      <c r="B128" s="6" t="s">
        <v>57</v>
      </c>
      <c r="C128" s="7" t="s">
        <v>51</v>
      </c>
      <c r="D128" s="6">
        <v>2.0</v>
      </c>
      <c r="E128" s="6">
        <v>32.0</v>
      </c>
      <c r="F128" s="8">
        <f t="shared" si="1"/>
        <v>10.18591636</v>
      </c>
      <c r="G128" s="8">
        <f t="shared" si="8"/>
        <v>12.11316421</v>
      </c>
      <c r="H128" s="6">
        <v>12.0</v>
      </c>
      <c r="I128" s="9">
        <v>560.0</v>
      </c>
      <c r="J128" s="10">
        <f t="shared" si="3"/>
        <v>5.94355545</v>
      </c>
      <c r="K128" s="8">
        <f t="shared" si="4"/>
        <v>0.237742218</v>
      </c>
      <c r="L128" s="8">
        <f t="shared" si="5"/>
        <v>1.236259534</v>
      </c>
      <c r="M128" s="8">
        <f t="shared" si="6"/>
        <v>7.417557202</v>
      </c>
      <c r="N128" s="11"/>
      <c r="O128" s="11"/>
    </row>
    <row r="129" ht="22.5" customHeight="1">
      <c r="A129" s="6" t="s">
        <v>19</v>
      </c>
      <c r="B129" s="6" t="s">
        <v>59</v>
      </c>
      <c r="C129" s="7" t="s">
        <v>36</v>
      </c>
      <c r="D129" s="6">
        <v>1.0</v>
      </c>
      <c r="E129" s="6">
        <v>34.0</v>
      </c>
      <c r="F129" s="8">
        <f t="shared" si="1"/>
        <v>10.82253613</v>
      </c>
      <c r="G129" s="8">
        <f t="shared" si="8"/>
        <v>10.82253613</v>
      </c>
      <c r="H129" s="6">
        <v>8.0</v>
      </c>
      <c r="I129" s="9">
        <v>690.0</v>
      </c>
      <c r="J129" s="10">
        <f t="shared" si="3"/>
        <v>3.936931865</v>
      </c>
      <c r="K129" s="8">
        <f t="shared" si="4"/>
        <v>0.1574772746</v>
      </c>
      <c r="L129" s="8">
        <f t="shared" si="5"/>
        <v>0.8188818279</v>
      </c>
      <c r="M129" s="8">
        <f t="shared" si="6"/>
        <v>4.913290967</v>
      </c>
      <c r="N129" s="11"/>
      <c r="O129" s="11"/>
    </row>
    <row r="130" ht="22.5" customHeight="1">
      <c r="A130" s="6" t="s">
        <v>29</v>
      </c>
      <c r="B130" s="6" t="s">
        <v>59</v>
      </c>
      <c r="C130" s="7" t="s">
        <v>36</v>
      </c>
      <c r="D130" s="6">
        <v>2.0</v>
      </c>
      <c r="E130" s="6">
        <v>34.0</v>
      </c>
      <c r="F130" s="8">
        <f t="shared" si="1"/>
        <v>10.82253613</v>
      </c>
      <c r="G130" s="8">
        <f t="shared" si="8"/>
        <v>12.87023697</v>
      </c>
      <c r="H130" s="6">
        <v>10.0</v>
      </c>
      <c r="I130" s="9">
        <v>690.0</v>
      </c>
      <c r="J130" s="10">
        <f t="shared" si="3"/>
        <v>6.86506588</v>
      </c>
      <c r="K130" s="8">
        <f t="shared" si="4"/>
        <v>0.2746026352</v>
      </c>
      <c r="L130" s="8">
        <f t="shared" si="5"/>
        <v>1.427933703</v>
      </c>
      <c r="M130" s="8">
        <f t="shared" si="6"/>
        <v>8.567602218</v>
      </c>
      <c r="N130" s="11"/>
      <c r="O130" s="11"/>
    </row>
    <row r="131" ht="22.5" customHeight="1">
      <c r="A131" s="6" t="s">
        <v>28</v>
      </c>
      <c r="B131" s="6" t="s">
        <v>59</v>
      </c>
      <c r="C131" s="7" t="s">
        <v>36</v>
      </c>
      <c r="D131" s="6">
        <v>4.0</v>
      </c>
      <c r="E131" s="6">
        <v>34.0</v>
      </c>
      <c r="F131" s="8">
        <f t="shared" si="1"/>
        <v>10.82253613</v>
      </c>
      <c r="G131" s="8">
        <f t="shared" si="8"/>
        <v>15.30537737</v>
      </c>
      <c r="H131" s="6">
        <v>12.0</v>
      </c>
      <c r="I131" s="9">
        <v>690.0</v>
      </c>
      <c r="J131" s="10">
        <f t="shared" si="3"/>
        <v>11.50345355</v>
      </c>
      <c r="K131" s="8">
        <f t="shared" si="4"/>
        <v>0.4601381421</v>
      </c>
      <c r="L131" s="8">
        <f t="shared" si="5"/>
        <v>2.392718339</v>
      </c>
      <c r="M131" s="8">
        <f t="shared" si="6"/>
        <v>14.35631003</v>
      </c>
      <c r="N131" s="11"/>
      <c r="O131" s="11"/>
    </row>
    <row r="132" ht="22.5" customHeight="1">
      <c r="A132" s="6" t="s">
        <v>25</v>
      </c>
      <c r="B132" s="6" t="s">
        <v>71</v>
      </c>
      <c r="C132" s="7" t="s">
        <v>41</v>
      </c>
      <c r="D132" s="6">
        <v>2.0</v>
      </c>
      <c r="E132" s="6">
        <v>34.0</v>
      </c>
      <c r="F132" s="8">
        <f t="shared" si="1"/>
        <v>10.82253613</v>
      </c>
      <c r="G132" s="8">
        <f t="shared" si="8"/>
        <v>12.87023697</v>
      </c>
      <c r="H132" s="6">
        <v>7.0</v>
      </c>
      <c r="I132" s="6">
        <v>700.0</v>
      </c>
      <c r="J132" s="10">
        <f t="shared" si="3"/>
        <v>4.915405723</v>
      </c>
      <c r="K132" s="8">
        <f t="shared" si="4"/>
        <v>0.1966162289</v>
      </c>
      <c r="L132" s="8">
        <f t="shared" si="5"/>
        <v>1.02240439</v>
      </c>
      <c r="M132" s="8">
        <f t="shared" si="6"/>
        <v>6.134426342</v>
      </c>
      <c r="N132" s="11"/>
      <c r="O132" s="11"/>
    </row>
    <row r="133" ht="22.5" customHeight="1">
      <c r="A133" s="6" t="s">
        <v>26</v>
      </c>
      <c r="B133" s="6" t="s">
        <v>68</v>
      </c>
      <c r="C133" s="7" t="s">
        <v>43</v>
      </c>
      <c r="D133" s="6">
        <v>2.0</v>
      </c>
      <c r="E133" s="6">
        <v>34.0</v>
      </c>
      <c r="F133" s="8">
        <f t="shared" si="1"/>
        <v>10.82253613</v>
      </c>
      <c r="G133" s="8">
        <f t="shared" si="8"/>
        <v>12.87023697</v>
      </c>
      <c r="H133" s="6">
        <v>9.0</v>
      </c>
      <c r="I133" s="9">
        <v>630.0</v>
      </c>
      <c r="J133" s="10">
        <f t="shared" si="3"/>
        <v>5.667937624</v>
      </c>
      <c r="K133" s="8">
        <f t="shared" si="4"/>
        <v>0.226717505</v>
      </c>
      <c r="L133" s="8">
        <f t="shared" si="5"/>
        <v>1.178931026</v>
      </c>
      <c r="M133" s="8">
        <f t="shared" si="6"/>
        <v>7.073586155</v>
      </c>
      <c r="N133" s="11"/>
      <c r="O133" s="11"/>
    </row>
    <row r="134" ht="22.5" customHeight="1">
      <c r="A134" s="6" t="s">
        <v>19</v>
      </c>
      <c r="B134" s="6" t="s">
        <v>20</v>
      </c>
      <c r="C134" s="7" t="s">
        <v>21</v>
      </c>
      <c r="D134" s="6">
        <v>1.0</v>
      </c>
      <c r="E134" s="6">
        <v>34.0</v>
      </c>
      <c r="F134" s="8">
        <f t="shared" si="1"/>
        <v>10.82253613</v>
      </c>
      <c r="G134" s="8">
        <f t="shared" si="8"/>
        <v>10.82253613</v>
      </c>
      <c r="H134" s="6">
        <v>14.0</v>
      </c>
      <c r="I134" s="9">
        <v>520.0</v>
      </c>
      <c r="J134" s="10">
        <f t="shared" si="3"/>
        <v>5.157812912</v>
      </c>
      <c r="K134" s="8">
        <f t="shared" si="4"/>
        <v>0.2063125165</v>
      </c>
      <c r="L134" s="8">
        <f t="shared" si="5"/>
        <v>1.072825086</v>
      </c>
      <c r="M134" s="8">
        <f t="shared" si="6"/>
        <v>6.436950514</v>
      </c>
      <c r="N134" s="11"/>
      <c r="O134" s="11"/>
    </row>
    <row r="135" ht="22.5" customHeight="1">
      <c r="A135" s="6" t="s">
        <v>19</v>
      </c>
      <c r="B135" s="6" t="s">
        <v>20</v>
      </c>
      <c r="C135" s="7" t="s">
        <v>21</v>
      </c>
      <c r="D135" s="6">
        <v>1.0</v>
      </c>
      <c r="E135" s="6">
        <v>34.0</v>
      </c>
      <c r="F135" s="8">
        <f t="shared" si="1"/>
        <v>10.82253613</v>
      </c>
      <c r="G135" s="8">
        <f t="shared" si="8"/>
        <v>10.82253613</v>
      </c>
      <c r="H135" s="6">
        <v>10.0</v>
      </c>
      <c r="I135" s="9">
        <v>520.0</v>
      </c>
      <c r="J135" s="10">
        <f t="shared" si="3"/>
        <v>3.714023285</v>
      </c>
      <c r="K135" s="8">
        <f t="shared" si="4"/>
        <v>0.1485609314</v>
      </c>
      <c r="L135" s="8">
        <f t="shared" si="5"/>
        <v>0.7725168432</v>
      </c>
      <c r="M135" s="8">
        <f t="shared" si="6"/>
        <v>4.635101059</v>
      </c>
      <c r="N135" s="11"/>
      <c r="O135" s="11"/>
    </row>
    <row r="136" ht="22.5" customHeight="1">
      <c r="A136" s="6" t="s">
        <v>19</v>
      </c>
      <c r="B136" s="6" t="s">
        <v>20</v>
      </c>
      <c r="C136" s="7" t="s">
        <v>21</v>
      </c>
      <c r="D136" s="6">
        <v>1.0</v>
      </c>
      <c r="E136" s="6">
        <v>34.0</v>
      </c>
      <c r="F136" s="8">
        <f t="shared" si="1"/>
        <v>10.82253613</v>
      </c>
      <c r="G136" s="8">
        <f t="shared" si="8"/>
        <v>10.82253613</v>
      </c>
      <c r="H136" s="6">
        <v>8.0</v>
      </c>
      <c r="I136" s="9">
        <v>520.0</v>
      </c>
      <c r="J136" s="10">
        <f t="shared" si="3"/>
        <v>2.987173511</v>
      </c>
      <c r="K136" s="8">
        <f t="shared" si="4"/>
        <v>0.1194869404</v>
      </c>
      <c r="L136" s="8">
        <f t="shared" si="5"/>
        <v>0.6213320903</v>
      </c>
      <c r="M136" s="8">
        <f t="shared" si="6"/>
        <v>3.727992542</v>
      </c>
      <c r="N136" s="11"/>
      <c r="O136" s="11"/>
    </row>
    <row r="137" ht="22.5" customHeight="1">
      <c r="A137" s="6" t="s">
        <v>19</v>
      </c>
      <c r="B137" s="6" t="s">
        <v>20</v>
      </c>
      <c r="C137" s="7" t="s">
        <v>21</v>
      </c>
      <c r="D137" s="6">
        <v>1.0</v>
      </c>
      <c r="E137" s="6">
        <v>34.0</v>
      </c>
      <c r="F137" s="8">
        <f t="shared" si="1"/>
        <v>10.82253613</v>
      </c>
      <c r="G137" s="8">
        <f t="shared" si="8"/>
        <v>10.82253613</v>
      </c>
      <c r="H137" s="6">
        <v>12.0</v>
      </c>
      <c r="I137" s="9">
        <v>520.0</v>
      </c>
      <c r="J137" s="10">
        <f t="shared" si="3"/>
        <v>4.437368727</v>
      </c>
      <c r="K137" s="8">
        <f t="shared" si="4"/>
        <v>0.1774947491</v>
      </c>
      <c r="L137" s="8">
        <f t="shared" si="5"/>
        <v>0.9229726953</v>
      </c>
      <c r="M137" s="8">
        <f t="shared" si="6"/>
        <v>5.537836172</v>
      </c>
      <c r="N137" s="11"/>
      <c r="O137" s="11"/>
    </row>
    <row r="138" ht="22.5" customHeight="1">
      <c r="A138" s="6" t="s">
        <v>19</v>
      </c>
      <c r="B138" s="6" t="s">
        <v>20</v>
      </c>
      <c r="C138" s="7" t="s">
        <v>21</v>
      </c>
      <c r="D138" s="6">
        <v>1.0</v>
      </c>
      <c r="E138" s="6">
        <v>34.0</v>
      </c>
      <c r="F138" s="8">
        <f t="shared" si="1"/>
        <v>10.82253613</v>
      </c>
      <c r="G138" s="8">
        <f t="shared" si="8"/>
        <v>10.82253613</v>
      </c>
      <c r="H138" s="6">
        <v>12.0</v>
      </c>
      <c r="I138" s="9">
        <v>520.0</v>
      </c>
      <c r="J138" s="10">
        <f t="shared" si="3"/>
        <v>4.437368727</v>
      </c>
      <c r="K138" s="8">
        <f t="shared" si="4"/>
        <v>0.1774947491</v>
      </c>
      <c r="L138" s="8">
        <f t="shared" si="5"/>
        <v>0.9229726953</v>
      </c>
      <c r="M138" s="8">
        <f t="shared" si="6"/>
        <v>5.537836172</v>
      </c>
      <c r="N138" s="11"/>
      <c r="O138" s="11"/>
    </row>
    <row r="139" ht="22.5" customHeight="1">
      <c r="A139" s="6" t="s">
        <v>19</v>
      </c>
      <c r="B139" s="6" t="s">
        <v>20</v>
      </c>
      <c r="C139" s="7" t="s">
        <v>21</v>
      </c>
      <c r="D139" s="6">
        <v>1.0</v>
      </c>
      <c r="E139" s="6">
        <v>34.0</v>
      </c>
      <c r="F139" s="8">
        <f t="shared" si="1"/>
        <v>10.82253613</v>
      </c>
      <c r="G139" s="8">
        <f t="shared" si="8"/>
        <v>10.82253613</v>
      </c>
      <c r="H139" s="6">
        <v>11.0</v>
      </c>
      <c r="I139" s="9">
        <v>520.0</v>
      </c>
      <c r="J139" s="10">
        <f t="shared" si="3"/>
        <v>4.07609111</v>
      </c>
      <c r="K139" s="8">
        <f t="shared" si="4"/>
        <v>0.1630436444</v>
      </c>
      <c r="L139" s="8">
        <f t="shared" si="5"/>
        <v>0.8478269508</v>
      </c>
      <c r="M139" s="8">
        <f t="shared" si="6"/>
        <v>5.086961705</v>
      </c>
      <c r="N139" s="11"/>
      <c r="O139" s="11"/>
    </row>
    <row r="140" ht="22.5" customHeight="1">
      <c r="A140" s="6" t="s">
        <v>31</v>
      </c>
      <c r="B140" s="6" t="s">
        <v>56</v>
      </c>
      <c r="C140" s="7" t="s">
        <v>39</v>
      </c>
      <c r="D140" s="6">
        <v>5.0</v>
      </c>
      <c r="E140" s="6">
        <v>34.0</v>
      </c>
      <c r="F140" s="8">
        <f t="shared" si="1"/>
        <v>10.82253613</v>
      </c>
      <c r="G140" s="8">
        <f t="shared" si="8"/>
        <v>16.18346621</v>
      </c>
      <c r="H140" s="6">
        <v>12.0</v>
      </c>
      <c r="I140" s="9">
        <v>670.0</v>
      </c>
      <c r="J140" s="10">
        <f t="shared" si="3"/>
        <v>12.46386179</v>
      </c>
      <c r="K140" s="8">
        <f t="shared" si="4"/>
        <v>0.4985544716</v>
      </c>
      <c r="L140" s="8">
        <f t="shared" si="5"/>
        <v>2.592483252</v>
      </c>
      <c r="M140" s="8">
        <f t="shared" si="6"/>
        <v>15.55489951</v>
      </c>
      <c r="N140" s="11"/>
      <c r="O140" s="11"/>
    </row>
    <row r="141" ht="22.5" customHeight="1">
      <c r="A141" s="6" t="s">
        <v>26</v>
      </c>
      <c r="B141" s="6" t="s">
        <v>57</v>
      </c>
      <c r="C141" s="7" t="s">
        <v>51</v>
      </c>
      <c r="D141" s="6">
        <v>2.0</v>
      </c>
      <c r="E141" s="6">
        <v>34.0</v>
      </c>
      <c r="F141" s="8">
        <f t="shared" si="1"/>
        <v>10.82253613</v>
      </c>
      <c r="G141" s="8">
        <f t="shared" si="8"/>
        <v>12.87023697</v>
      </c>
      <c r="H141" s="6">
        <v>12.0</v>
      </c>
      <c r="I141" s="9">
        <v>560.0</v>
      </c>
      <c r="J141" s="10">
        <f t="shared" si="3"/>
        <v>6.690220122</v>
      </c>
      <c r="K141" s="8">
        <f t="shared" si="4"/>
        <v>0.2676088049</v>
      </c>
      <c r="L141" s="8">
        <f t="shared" si="5"/>
        <v>1.391565785</v>
      </c>
      <c r="M141" s="8">
        <f t="shared" si="6"/>
        <v>8.349394712</v>
      </c>
      <c r="N141" s="11"/>
      <c r="O141" s="11"/>
    </row>
    <row r="142" ht="22.5" customHeight="1">
      <c r="A142" s="6" t="s">
        <v>29</v>
      </c>
      <c r="B142" s="6" t="s">
        <v>58</v>
      </c>
      <c r="C142" s="7" t="s">
        <v>54</v>
      </c>
      <c r="D142" s="6">
        <v>1.0</v>
      </c>
      <c r="E142" s="6">
        <v>34.0</v>
      </c>
      <c r="F142" s="8">
        <f t="shared" si="1"/>
        <v>10.82253613</v>
      </c>
      <c r="G142" s="8">
        <f t="shared" si="8"/>
        <v>10.82253613</v>
      </c>
      <c r="H142" s="6">
        <v>10.0</v>
      </c>
      <c r="I142" s="9">
        <v>550.0</v>
      </c>
      <c r="J142" s="10">
        <f t="shared" si="3"/>
        <v>3.923009355</v>
      </c>
      <c r="K142" s="8">
        <f t="shared" si="4"/>
        <v>0.1569203742</v>
      </c>
      <c r="L142" s="8">
        <f t="shared" si="5"/>
        <v>0.8159859458</v>
      </c>
      <c r="M142" s="8">
        <f t="shared" si="6"/>
        <v>4.895915675</v>
      </c>
      <c r="N142" s="11"/>
      <c r="O142" s="11"/>
    </row>
    <row r="143" ht="22.5" customHeight="1">
      <c r="A143" s="6" t="s">
        <v>31</v>
      </c>
      <c r="B143" s="6" t="s">
        <v>72</v>
      </c>
      <c r="C143" s="7" t="s">
        <v>55</v>
      </c>
      <c r="D143" s="6">
        <v>1.0</v>
      </c>
      <c r="E143" s="6">
        <v>34.0</v>
      </c>
      <c r="F143" s="8">
        <f t="shared" si="1"/>
        <v>10.82253613</v>
      </c>
      <c r="G143" s="8">
        <f t="shared" si="8"/>
        <v>10.82253613</v>
      </c>
      <c r="H143" s="6">
        <v>8.0</v>
      </c>
      <c r="I143" s="6">
        <v>570.0</v>
      </c>
      <c r="J143" s="10">
        <f t="shared" si="3"/>
        <v>3.267194921</v>
      </c>
      <c r="K143" s="8">
        <f t="shared" si="4"/>
        <v>0.1306877968</v>
      </c>
      <c r="L143" s="8">
        <f t="shared" si="5"/>
        <v>0.6795765435</v>
      </c>
      <c r="M143" s="8">
        <f t="shared" si="6"/>
        <v>4.077459261</v>
      </c>
      <c r="N143" s="11"/>
      <c r="O143" s="11"/>
    </row>
    <row r="144" ht="22.5" customHeight="1">
      <c r="A144" s="6" t="s">
        <v>31</v>
      </c>
      <c r="B144" s="6" t="s">
        <v>59</v>
      </c>
      <c r="C144" s="7" t="s">
        <v>36</v>
      </c>
      <c r="D144" s="6">
        <v>2.0</v>
      </c>
      <c r="E144" s="6">
        <v>35.0</v>
      </c>
      <c r="F144" s="8">
        <f t="shared" si="1"/>
        <v>11.14084602</v>
      </c>
      <c r="G144" s="8">
        <f t="shared" si="8"/>
        <v>13.24877335</v>
      </c>
      <c r="H144" s="6">
        <v>9.0</v>
      </c>
      <c r="I144" s="9">
        <v>690.0</v>
      </c>
      <c r="J144" s="10">
        <f t="shared" si="3"/>
        <v>6.554798942</v>
      </c>
      <c r="K144" s="8">
        <f t="shared" si="4"/>
        <v>0.2621919577</v>
      </c>
      <c r="L144" s="8">
        <f t="shared" si="5"/>
        <v>1.36339818</v>
      </c>
      <c r="M144" s="8">
        <f t="shared" si="6"/>
        <v>8.18038908</v>
      </c>
      <c r="N144" s="11"/>
      <c r="O144" s="11"/>
    </row>
    <row r="145" ht="22.5" customHeight="1">
      <c r="A145" s="6" t="s">
        <v>26</v>
      </c>
      <c r="B145" s="6" t="s">
        <v>59</v>
      </c>
      <c r="C145" s="7" t="s">
        <v>36</v>
      </c>
      <c r="D145" s="6">
        <v>3.0</v>
      </c>
      <c r="E145" s="6">
        <v>35.0</v>
      </c>
      <c r="F145" s="8">
        <f t="shared" si="1"/>
        <v>11.14084602</v>
      </c>
      <c r="G145" s="8">
        <f t="shared" si="8"/>
        <v>14.66217792</v>
      </c>
      <c r="H145" s="6">
        <v>9.0</v>
      </c>
      <c r="I145" s="9">
        <v>690.0</v>
      </c>
      <c r="J145" s="10">
        <f t="shared" si="3"/>
        <v>7.988990586</v>
      </c>
      <c r="K145" s="8">
        <f t="shared" si="4"/>
        <v>0.3195596234</v>
      </c>
      <c r="L145" s="8">
        <f t="shared" si="5"/>
        <v>1.661710042</v>
      </c>
      <c r="M145" s="8">
        <f t="shared" si="6"/>
        <v>9.970260251</v>
      </c>
      <c r="N145" s="11"/>
      <c r="O145" s="11"/>
    </row>
    <row r="146" ht="22.5" customHeight="1">
      <c r="A146" s="6" t="s">
        <v>24</v>
      </c>
      <c r="B146" s="6" t="s">
        <v>59</v>
      </c>
      <c r="C146" s="7" t="s">
        <v>36</v>
      </c>
      <c r="D146" s="6">
        <v>4.0</v>
      </c>
      <c r="E146" s="6">
        <v>35.0</v>
      </c>
      <c r="F146" s="8">
        <f t="shared" si="1"/>
        <v>11.14084602</v>
      </c>
      <c r="G146" s="8">
        <f t="shared" si="8"/>
        <v>15.75553553</v>
      </c>
      <c r="H146" s="6">
        <v>9.0</v>
      </c>
      <c r="I146" s="9">
        <v>690.0</v>
      </c>
      <c r="J146" s="10">
        <f t="shared" si="3"/>
        <v>9.193100605</v>
      </c>
      <c r="K146" s="8">
        <f t="shared" si="4"/>
        <v>0.3677240242</v>
      </c>
      <c r="L146" s="8">
        <f t="shared" si="5"/>
        <v>1.912164926</v>
      </c>
      <c r="M146" s="8">
        <f t="shared" si="6"/>
        <v>11.47298955</v>
      </c>
      <c r="N146" s="11"/>
      <c r="O146" s="11"/>
    </row>
    <row r="147" ht="22.5" customHeight="1">
      <c r="A147" s="6" t="s">
        <v>19</v>
      </c>
      <c r="B147" s="6" t="s">
        <v>20</v>
      </c>
      <c r="C147" s="7" t="s">
        <v>21</v>
      </c>
      <c r="D147" s="6">
        <v>1.0</v>
      </c>
      <c r="E147" s="6">
        <v>35.0</v>
      </c>
      <c r="F147" s="8">
        <f t="shared" si="1"/>
        <v>11.14084602</v>
      </c>
      <c r="G147" s="8">
        <f t="shared" si="8"/>
        <v>11.14084602</v>
      </c>
      <c r="H147" s="6">
        <v>14.0</v>
      </c>
      <c r="I147" s="9">
        <v>520.0</v>
      </c>
      <c r="J147" s="10">
        <f t="shared" si="3"/>
        <v>5.458075785</v>
      </c>
      <c r="K147" s="8">
        <f t="shared" si="4"/>
        <v>0.2183230314</v>
      </c>
      <c r="L147" s="8">
        <f t="shared" si="5"/>
        <v>1.135279763</v>
      </c>
      <c r="M147" s="8">
        <f t="shared" si="6"/>
        <v>6.811678579</v>
      </c>
      <c r="N147" s="11"/>
      <c r="O147" s="11"/>
    </row>
    <row r="148" ht="22.5" customHeight="1">
      <c r="A148" s="6" t="s">
        <v>19</v>
      </c>
      <c r="B148" s="6" t="s">
        <v>20</v>
      </c>
      <c r="C148" s="7" t="s">
        <v>21</v>
      </c>
      <c r="D148" s="6">
        <v>2.0</v>
      </c>
      <c r="E148" s="6">
        <v>35.0</v>
      </c>
      <c r="F148" s="8">
        <f t="shared" si="1"/>
        <v>11.14084602</v>
      </c>
      <c r="G148" s="8">
        <f t="shared" si="8"/>
        <v>13.24877335</v>
      </c>
      <c r="H148" s="6">
        <v>11.0</v>
      </c>
      <c r="I148" s="9">
        <v>520.0</v>
      </c>
      <c r="J148" s="10">
        <f t="shared" si="3"/>
        <v>6.049514155</v>
      </c>
      <c r="K148" s="8">
        <f t="shared" si="4"/>
        <v>0.2419805662</v>
      </c>
      <c r="L148" s="8">
        <f t="shared" si="5"/>
        <v>1.258298944</v>
      </c>
      <c r="M148" s="8">
        <f t="shared" si="6"/>
        <v>7.549793666</v>
      </c>
      <c r="N148" s="11"/>
      <c r="O148" s="11"/>
    </row>
    <row r="149" ht="22.5" customHeight="1">
      <c r="A149" s="6" t="s">
        <v>19</v>
      </c>
      <c r="B149" s="6" t="s">
        <v>20</v>
      </c>
      <c r="C149" s="7" t="s">
        <v>21</v>
      </c>
      <c r="D149" s="6">
        <v>1.0</v>
      </c>
      <c r="E149" s="6">
        <v>36.0</v>
      </c>
      <c r="F149" s="8">
        <f t="shared" si="1"/>
        <v>11.4591559</v>
      </c>
      <c r="G149" s="8">
        <f t="shared" si="8"/>
        <v>11.4591559</v>
      </c>
      <c r="H149" s="6">
        <v>9.0</v>
      </c>
      <c r="I149" s="9">
        <v>520.0</v>
      </c>
      <c r="J149" s="10">
        <f t="shared" si="3"/>
        <v>3.746631212</v>
      </c>
      <c r="K149" s="8">
        <f t="shared" si="4"/>
        <v>0.1498652485</v>
      </c>
      <c r="L149" s="8">
        <f t="shared" si="5"/>
        <v>0.7792992922</v>
      </c>
      <c r="M149" s="8">
        <f t="shared" si="6"/>
        <v>4.675795753</v>
      </c>
      <c r="N149" s="11"/>
      <c r="O149" s="11"/>
    </row>
    <row r="150" ht="22.5" customHeight="1">
      <c r="A150" s="6" t="s">
        <v>19</v>
      </c>
      <c r="B150" s="6" t="s">
        <v>20</v>
      </c>
      <c r="C150" s="7" t="s">
        <v>21</v>
      </c>
      <c r="D150" s="6">
        <v>1.0</v>
      </c>
      <c r="E150" s="6">
        <v>36.0</v>
      </c>
      <c r="F150" s="8">
        <f t="shared" si="1"/>
        <v>11.4591559</v>
      </c>
      <c r="G150" s="8">
        <f t="shared" si="8"/>
        <v>11.4591559</v>
      </c>
      <c r="H150" s="6">
        <v>11.0</v>
      </c>
      <c r="I150" s="9">
        <v>520.0</v>
      </c>
      <c r="J150" s="10">
        <f t="shared" si="3"/>
        <v>4.557215001</v>
      </c>
      <c r="K150" s="8">
        <f t="shared" si="4"/>
        <v>0.1822886001</v>
      </c>
      <c r="L150" s="8">
        <f t="shared" si="5"/>
        <v>0.9479007203</v>
      </c>
      <c r="M150" s="8">
        <f t="shared" si="6"/>
        <v>5.687404322</v>
      </c>
      <c r="N150" s="11"/>
      <c r="O150" s="11"/>
    </row>
    <row r="151" ht="22.5" customHeight="1">
      <c r="A151" s="6" t="s">
        <v>19</v>
      </c>
      <c r="B151" s="6" t="s">
        <v>20</v>
      </c>
      <c r="C151" s="7" t="s">
        <v>21</v>
      </c>
      <c r="D151" s="6">
        <v>1.0</v>
      </c>
      <c r="E151" s="6">
        <v>36.0</v>
      </c>
      <c r="F151" s="8">
        <f t="shared" si="1"/>
        <v>11.4591559</v>
      </c>
      <c r="G151" s="8">
        <f t="shared" si="8"/>
        <v>11.4591559</v>
      </c>
      <c r="H151" s="6">
        <v>9.0</v>
      </c>
      <c r="I151" s="9">
        <v>520.0</v>
      </c>
      <c r="J151" s="10">
        <f t="shared" si="3"/>
        <v>3.746631212</v>
      </c>
      <c r="K151" s="8">
        <f t="shared" si="4"/>
        <v>0.1498652485</v>
      </c>
      <c r="L151" s="8">
        <f t="shared" si="5"/>
        <v>0.7792992922</v>
      </c>
      <c r="M151" s="8">
        <f t="shared" si="6"/>
        <v>4.675795753</v>
      </c>
      <c r="N151" s="11"/>
      <c r="O151" s="11"/>
    </row>
    <row r="152" ht="22.5" customHeight="1">
      <c r="A152" s="6" t="s">
        <v>19</v>
      </c>
      <c r="B152" s="6" t="s">
        <v>20</v>
      </c>
      <c r="C152" s="7" t="s">
        <v>21</v>
      </c>
      <c r="D152" s="6">
        <v>1.0</v>
      </c>
      <c r="E152" s="6">
        <v>36.0</v>
      </c>
      <c r="F152" s="8">
        <f t="shared" si="1"/>
        <v>11.4591559</v>
      </c>
      <c r="G152" s="8">
        <f t="shared" si="8"/>
        <v>11.4591559</v>
      </c>
      <c r="H152" s="6">
        <v>8.0</v>
      </c>
      <c r="I152" s="9">
        <v>520.0</v>
      </c>
      <c r="J152" s="10">
        <f t="shared" si="3"/>
        <v>3.339766352</v>
      </c>
      <c r="K152" s="8">
        <f t="shared" si="4"/>
        <v>0.1335906541</v>
      </c>
      <c r="L152" s="8">
        <f t="shared" si="5"/>
        <v>0.6946714012</v>
      </c>
      <c r="M152" s="8">
        <f t="shared" si="6"/>
        <v>4.168028407</v>
      </c>
      <c r="N152" s="11"/>
      <c r="O152" s="11"/>
    </row>
    <row r="153" ht="22.5" customHeight="1">
      <c r="A153" s="6" t="s">
        <v>19</v>
      </c>
      <c r="B153" s="6" t="s">
        <v>20</v>
      </c>
      <c r="C153" s="7" t="s">
        <v>21</v>
      </c>
      <c r="D153" s="6">
        <v>1.0</v>
      </c>
      <c r="E153" s="6">
        <v>37.0</v>
      </c>
      <c r="F153" s="8">
        <f t="shared" si="1"/>
        <v>11.77746579</v>
      </c>
      <c r="G153" s="8">
        <f t="shared" si="8"/>
        <v>11.77746579</v>
      </c>
      <c r="H153" s="6">
        <v>11.0</v>
      </c>
      <c r="I153" s="9">
        <v>520.0</v>
      </c>
      <c r="J153" s="10">
        <f t="shared" si="3"/>
        <v>4.807583126</v>
      </c>
      <c r="K153" s="8">
        <f t="shared" si="4"/>
        <v>0.192303325</v>
      </c>
      <c r="L153" s="8">
        <f t="shared" si="5"/>
        <v>0.9999772902</v>
      </c>
      <c r="M153" s="8">
        <f t="shared" si="6"/>
        <v>5.999863741</v>
      </c>
      <c r="N153" s="11"/>
      <c r="O153" s="11"/>
    </row>
    <row r="154" ht="22.5" customHeight="1">
      <c r="A154" s="6" t="s">
        <v>19</v>
      </c>
      <c r="B154" s="6" t="s">
        <v>20</v>
      </c>
      <c r="C154" s="7" t="s">
        <v>21</v>
      </c>
      <c r="D154" s="6">
        <v>1.0</v>
      </c>
      <c r="E154" s="6">
        <v>37.0</v>
      </c>
      <c r="F154" s="8">
        <f t="shared" si="1"/>
        <v>11.77746579</v>
      </c>
      <c r="G154" s="8">
        <f t="shared" si="8"/>
        <v>11.77746579</v>
      </c>
      <c r="H154" s="6">
        <v>8.0</v>
      </c>
      <c r="I154" s="9">
        <v>520.0</v>
      </c>
      <c r="J154" s="10">
        <f t="shared" si="3"/>
        <v>3.523249255</v>
      </c>
      <c r="K154" s="8">
        <f t="shared" si="4"/>
        <v>0.1409299702</v>
      </c>
      <c r="L154" s="8">
        <f t="shared" si="5"/>
        <v>0.7328358451</v>
      </c>
      <c r="M154" s="8">
        <f t="shared" si="6"/>
        <v>4.397015071</v>
      </c>
      <c r="N154" s="11"/>
      <c r="O154" s="11"/>
    </row>
    <row r="155" ht="22.5" customHeight="1">
      <c r="A155" s="6" t="s">
        <v>27</v>
      </c>
      <c r="B155" s="6" t="s">
        <v>59</v>
      </c>
      <c r="C155" s="7" t="s">
        <v>36</v>
      </c>
      <c r="D155" s="6">
        <v>3.0</v>
      </c>
      <c r="E155" s="6">
        <v>38.0</v>
      </c>
      <c r="F155" s="8">
        <f t="shared" si="1"/>
        <v>12.09577567</v>
      </c>
      <c r="G155" s="8">
        <f t="shared" si="8"/>
        <v>15.91893603</v>
      </c>
      <c r="H155" s="6">
        <v>11.0</v>
      </c>
      <c r="I155" s="9">
        <v>690.0</v>
      </c>
      <c r="J155" s="10">
        <f t="shared" si="3"/>
        <v>11.40951645</v>
      </c>
      <c r="K155" s="8">
        <f t="shared" si="4"/>
        <v>0.4563806581</v>
      </c>
      <c r="L155" s="8">
        <f t="shared" si="5"/>
        <v>2.373179422</v>
      </c>
      <c r="M155" s="8">
        <f t="shared" si="6"/>
        <v>14.23907653</v>
      </c>
      <c r="N155" s="11"/>
      <c r="O155" s="11"/>
    </row>
    <row r="156" ht="22.5" customHeight="1">
      <c r="A156" s="6" t="s">
        <v>19</v>
      </c>
      <c r="B156" s="6" t="s">
        <v>20</v>
      </c>
      <c r="C156" s="7" t="s">
        <v>21</v>
      </c>
      <c r="D156" s="6">
        <v>1.0</v>
      </c>
      <c r="E156" s="6">
        <v>38.0</v>
      </c>
      <c r="F156" s="8">
        <f t="shared" si="1"/>
        <v>12.09577567</v>
      </c>
      <c r="G156" s="8">
        <f t="shared" si="8"/>
        <v>12.09577567</v>
      </c>
      <c r="H156" s="6">
        <v>8.0</v>
      </c>
      <c r="I156" s="9">
        <v>520.0</v>
      </c>
      <c r="J156" s="10">
        <f t="shared" si="3"/>
        <v>3.711514692</v>
      </c>
      <c r="K156" s="8">
        <f t="shared" si="4"/>
        <v>0.1484605877</v>
      </c>
      <c r="L156" s="8">
        <f t="shared" si="5"/>
        <v>0.7719950559</v>
      </c>
      <c r="M156" s="8">
        <f t="shared" si="6"/>
        <v>4.631970335</v>
      </c>
      <c r="N156" s="11"/>
      <c r="O156" s="11"/>
    </row>
    <row r="157" ht="22.5" customHeight="1">
      <c r="A157" s="6" t="s">
        <v>19</v>
      </c>
      <c r="B157" s="6" t="s">
        <v>20</v>
      </c>
      <c r="C157" s="7" t="s">
        <v>21</v>
      </c>
      <c r="D157" s="6">
        <v>1.0</v>
      </c>
      <c r="E157" s="6">
        <v>38.0</v>
      </c>
      <c r="F157" s="8">
        <f t="shared" si="1"/>
        <v>12.09577567</v>
      </c>
      <c r="G157" s="8">
        <f t="shared" si="8"/>
        <v>12.09577567</v>
      </c>
      <c r="H157" s="6">
        <v>10.0</v>
      </c>
      <c r="I157" s="9">
        <v>520.0</v>
      </c>
      <c r="J157" s="10">
        <f t="shared" si="3"/>
        <v>4.61461376</v>
      </c>
      <c r="K157" s="8">
        <f t="shared" si="4"/>
        <v>0.1845845504</v>
      </c>
      <c r="L157" s="8">
        <f t="shared" si="5"/>
        <v>0.959839662</v>
      </c>
      <c r="M157" s="8">
        <f t="shared" si="6"/>
        <v>5.759037972</v>
      </c>
      <c r="N157" s="11"/>
      <c r="O157" s="11"/>
    </row>
    <row r="158" ht="22.5" customHeight="1">
      <c r="A158" s="6" t="s">
        <v>19</v>
      </c>
      <c r="B158" s="6" t="s">
        <v>20</v>
      </c>
      <c r="C158" s="7" t="s">
        <v>21</v>
      </c>
      <c r="D158" s="6">
        <v>1.0</v>
      </c>
      <c r="E158" s="6">
        <v>38.0</v>
      </c>
      <c r="F158" s="8">
        <f t="shared" si="1"/>
        <v>12.09577567</v>
      </c>
      <c r="G158" s="8">
        <f t="shared" si="8"/>
        <v>12.09577567</v>
      </c>
      <c r="H158" s="6">
        <v>15.0</v>
      </c>
      <c r="I158" s="9">
        <v>520.0</v>
      </c>
      <c r="J158" s="10">
        <f t="shared" si="3"/>
        <v>6.854888981</v>
      </c>
      <c r="K158" s="8">
        <f t="shared" si="4"/>
        <v>0.2741955593</v>
      </c>
      <c r="L158" s="8">
        <f t="shared" si="5"/>
        <v>1.425816908</v>
      </c>
      <c r="M158" s="8">
        <f t="shared" si="6"/>
        <v>8.554901449</v>
      </c>
      <c r="N158" s="11"/>
      <c r="O158" s="11"/>
    </row>
    <row r="159" ht="22.5" customHeight="1">
      <c r="A159" s="6" t="s">
        <v>27</v>
      </c>
      <c r="B159" s="6" t="s">
        <v>59</v>
      </c>
      <c r="C159" s="7" t="s">
        <v>36</v>
      </c>
      <c r="D159" s="6">
        <v>2.0</v>
      </c>
      <c r="E159" s="6">
        <v>40.0</v>
      </c>
      <c r="F159" s="8">
        <f t="shared" si="1"/>
        <v>12.73239545</v>
      </c>
      <c r="G159" s="8">
        <f t="shared" si="8"/>
        <v>15.14145526</v>
      </c>
      <c r="H159" s="6">
        <v>12.0</v>
      </c>
      <c r="I159" s="9">
        <v>690.0</v>
      </c>
      <c r="J159" s="10">
        <f t="shared" si="3"/>
        <v>11.26418728</v>
      </c>
      <c r="K159" s="8">
        <f t="shared" si="4"/>
        <v>0.4505674911</v>
      </c>
      <c r="L159" s="8">
        <f t="shared" si="5"/>
        <v>2.342950954</v>
      </c>
      <c r="M159" s="8">
        <f t="shared" si="6"/>
        <v>14.05770572</v>
      </c>
      <c r="N159" s="11"/>
      <c r="O159" s="11"/>
    </row>
    <row r="160" ht="22.5" customHeight="1">
      <c r="A160" s="6" t="s">
        <v>19</v>
      </c>
      <c r="B160" s="6" t="s">
        <v>73</v>
      </c>
      <c r="C160" s="7" t="s">
        <v>43</v>
      </c>
      <c r="D160" s="6">
        <v>1.0</v>
      </c>
      <c r="E160" s="6">
        <v>40.0</v>
      </c>
      <c r="F160" s="8">
        <f t="shared" si="1"/>
        <v>12.73239545</v>
      </c>
      <c r="G160" s="8">
        <f t="shared" si="8"/>
        <v>12.73239545</v>
      </c>
      <c r="H160" s="6">
        <v>9.0</v>
      </c>
      <c r="I160" s="9">
        <v>630.0</v>
      </c>
      <c r="J160" s="10">
        <f t="shared" si="3"/>
        <v>5.55004726</v>
      </c>
      <c r="K160" s="8">
        <f t="shared" si="4"/>
        <v>0.2220018904</v>
      </c>
      <c r="L160" s="8">
        <f t="shared" si="5"/>
        <v>1.15440983</v>
      </c>
      <c r="M160" s="8">
        <f t="shared" si="6"/>
        <v>6.926458981</v>
      </c>
      <c r="N160" s="11"/>
      <c r="O160" s="11"/>
    </row>
    <row r="161" ht="22.5" customHeight="1">
      <c r="A161" s="6" t="s">
        <v>29</v>
      </c>
      <c r="B161" s="6" t="s">
        <v>33</v>
      </c>
      <c r="C161" s="7" t="s">
        <v>34</v>
      </c>
      <c r="D161" s="6">
        <v>2.0</v>
      </c>
      <c r="E161" s="6">
        <v>40.0</v>
      </c>
      <c r="F161" s="8">
        <f t="shared" si="1"/>
        <v>12.73239545</v>
      </c>
      <c r="G161" s="8">
        <f t="shared" si="8"/>
        <v>15.14145526</v>
      </c>
      <c r="H161" s="6">
        <v>9.0</v>
      </c>
      <c r="I161" s="9">
        <v>520.0</v>
      </c>
      <c r="J161" s="10">
        <f t="shared" si="3"/>
        <v>6.454494072</v>
      </c>
      <c r="K161" s="8">
        <f t="shared" si="4"/>
        <v>0.2581797629</v>
      </c>
      <c r="L161" s="8">
        <f t="shared" si="5"/>
        <v>1.342534767</v>
      </c>
      <c r="M161" s="8">
        <f t="shared" si="6"/>
        <v>8.055208602</v>
      </c>
      <c r="N161" s="11"/>
      <c r="O161" s="11"/>
    </row>
    <row r="162" ht="22.5" customHeight="1">
      <c r="A162" s="6" t="s">
        <v>19</v>
      </c>
      <c r="B162" s="6" t="s">
        <v>74</v>
      </c>
      <c r="C162" s="7" t="s">
        <v>34</v>
      </c>
      <c r="D162" s="6">
        <v>2.0</v>
      </c>
      <c r="E162" s="6">
        <v>40.0</v>
      </c>
      <c r="F162" s="8">
        <f t="shared" si="1"/>
        <v>12.73239545</v>
      </c>
      <c r="G162" s="8">
        <f t="shared" si="8"/>
        <v>15.14145526</v>
      </c>
      <c r="H162" s="6">
        <v>11.0</v>
      </c>
      <c r="I162" s="9">
        <v>520.0</v>
      </c>
      <c r="J162" s="10">
        <f t="shared" si="3"/>
        <v>7.850924082</v>
      </c>
      <c r="K162" s="8">
        <f t="shared" si="4"/>
        <v>0.3140369633</v>
      </c>
      <c r="L162" s="8">
        <f t="shared" si="5"/>
        <v>1.632992209</v>
      </c>
      <c r="M162" s="8">
        <f t="shared" si="6"/>
        <v>9.797953254</v>
      </c>
      <c r="N162" s="11"/>
      <c r="O162" s="11"/>
    </row>
    <row r="163" ht="22.5" customHeight="1">
      <c r="A163" s="6" t="s">
        <v>19</v>
      </c>
      <c r="B163" s="6" t="s">
        <v>64</v>
      </c>
      <c r="C163" s="7" t="s">
        <v>48</v>
      </c>
      <c r="D163" s="6">
        <v>3.0</v>
      </c>
      <c r="E163" s="6">
        <v>40.0</v>
      </c>
      <c r="F163" s="8">
        <f t="shared" si="1"/>
        <v>12.73239545</v>
      </c>
      <c r="G163" s="8">
        <f t="shared" si="8"/>
        <v>16.75677477</v>
      </c>
      <c r="H163" s="6">
        <v>4.0</v>
      </c>
      <c r="I163" s="9">
        <v>550.0</v>
      </c>
      <c r="J163" s="10">
        <f t="shared" si="3"/>
        <v>3.765644561</v>
      </c>
      <c r="K163" s="8">
        <f t="shared" si="4"/>
        <v>0.1506257824</v>
      </c>
      <c r="L163" s="8">
        <f t="shared" si="5"/>
        <v>0.7832540687</v>
      </c>
      <c r="M163" s="8">
        <f t="shared" si="6"/>
        <v>4.699524412</v>
      </c>
      <c r="N163" s="11"/>
      <c r="O163" s="11"/>
    </row>
    <row r="164" ht="22.5" customHeight="1">
      <c r="A164" s="6" t="s">
        <v>19</v>
      </c>
      <c r="B164" s="6" t="s">
        <v>20</v>
      </c>
      <c r="C164" s="7" t="s">
        <v>21</v>
      </c>
      <c r="D164" s="6">
        <v>1.0</v>
      </c>
      <c r="E164" s="6">
        <v>40.0</v>
      </c>
      <c r="F164" s="8">
        <f t="shared" si="1"/>
        <v>12.73239545</v>
      </c>
      <c r="G164" s="8">
        <f t="shared" si="8"/>
        <v>12.73239545</v>
      </c>
      <c r="H164" s="6">
        <v>14.0</v>
      </c>
      <c r="I164" s="9">
        <v>520.0</v>
      </c>
      <c r="J164" s="10">
        <f t="shared" si="3"/>
        <v>7.083368601</v>
      </c>
      <c r="K164" s="8">
        <f t="shared" si="4"/>
        <v>0.283334744</v>
      </c>
      <c r="L164" s="8">
        <f t="shared" si="5"/>
        <v>1.473340669</v>
      </c>
      <c r="M164" s="8">
        <f t="shared" si="6"/>
        <v>8.840044014</v>
      </c>
      <c r="N164" s="11"/>
      <c r="O164" s="11"/>
    </row>
    <row r="165" ht="22.5" customHeight="1">
      <c r="A165" s="6" t="s">
        <v>19</v>
      </c>
      <c r="B165" s="6" t="s">
        <v>20</v>
      </c>
      <c r="C165" s="7" t="s">
        <v>21</v>
      </c>
      <c r="D165" s="6">
        <v>1.0</v>
      </c>
      <c r="E165" s="6">
        <v>40.0</v>
      </c>
      <c r="F165" s="8">
        <f t="shared" si="1"/>
        <v>12.73239545</v>
      </c>
      <c r="G165" s="8">
        <f t="shared" si="8"/>
        <v>12.73239545</v>
      </c>
      <c r="H165" s="6">
        <v>8.0</v>
      </c>
      <c r="I165" s="9">
        <v>520.0</v>
      </c>
      <c r="J165" s="10">
        <f t="shared" si="3"/>
        <v>4.102368856</v>
      </c>
      <c r="K165" s="8">
        <f t="shared" si="4"/>
        <v>0.1640947542</v>
      </c>
      <c r="L165" s="8">
        <f t="shared" si="5"/>
        <v>0.8532927221</v>
      </c>
      <c r="M165" s="8">
        <f t="shared" si="6"/>
        <v>5.119756332</v>
      </c>
      <c r="N165" s="11"/>
      <c r="O165" s="11"/>
    </row>
    <row r="166" ht="22.5" customHeight="1">
      <c r="A166" s="6" t="s">
        <v>19</v>
      </c>
      <c r="B166" s="6" t="s">
        <v>20</v>
      </c>
      <c r="C166" s="7" t="s">
        <v>21</v>
      </c>
      <c r="D166" s="6">
        <v>1.0</v>
      </c>
      <c r="E166" s="6">
        <v>40.0</v>
      </c>
      <c r="F166" s="8">
        <f t="shared" si="1"/>
        <v>12.73239545</v>
      </c>
      <c r="G166" s="8">
        <f t="shared" si="8"/>
        <v>12.73239545</v>
      </c>
      <c r="H166" s="6">
        <v>11.0</v>
      </c>
      <c r="I166" s="9">
        <v>520.0</v>
      </c>
      <c r="J166" s="10">
        <f t="shared" si="3"/>
        <v>5.597809823</v>
      </c>
      <c r="K166" s="8">
        <f t="shared" si="4"/>
        <v>0.2239123929</v>
      </c>
      <c r="L166" s="8">
        <f t="shared" si="5"/>
        <v>1.164344443</v>
      </c>
      <c r="M166" s="8">
        <f t="shared" si="6"/>
        <v>6.986066659</v>
      </c>
      <c r="N166" s="11"/>
      <c r="O166" s="11"/>
    </row>
    <row r="167" ht="22.5" customHeight="1">
      <c r="A167" s="6" t="s">
        <v>19</v>
      </c>
      <c r="B167" s="6" t="s">
        <v>20</v>
      </c>
      <c r="C167" s="7" t="s">
        <v>21</v>
      </c>
      <c r="D167" s="6">
        <v>1.0</v>
      </c>
      <c r="E167" s="6">
        <v>40.0</v>
      </c>
      <c r="F167" s="8">
        <f t="shared" si="1"/>
        <v>12.73239545</v>
      </c>
      <c r="G167" s="8">
        <f t="shared" si="8"/>
        <v>12.73239545</v>
      </c>
      <c r="H167" s="6">
        <v>13.0</v>
      </c>
      <c r="I167" s="9">
        <v>520.0</v>
      </c>
      <c r="J167" s="10">
        <f t="shared" si="3"/>
        <v>6.589122642</v>
      </c>
      <c r="K167" s="8">
        <f t="shared" si="4"/>
        <v>0.2635649057</v>
      </c>
      <c r="L167" s="8">
        <f t="shared" si="5"/>
        <v>1.370537509</v>
      </c>
      <c r="M167" s="8">
        <f t="shared" si="6"/>
        <v>8.223225057</v>
      </c>
      <c r="N167" s="11"/>
      <c r="O167" s="11"/>
    </row>
    <row r="168" ht="22.5" customHeight="1">
      <c r="A168" s="6" t="s">
        <v>19</v>
      </c>
      <c r="B168" s="6" t="s">
        <v>20</v>
      </c>
      <c r="C168" s="7" t="s">
        <v>21</v>
      </c>
      <c r="D168" s="6">
        <v>2.0</v>
      </c>
      <c r="E168" s="6">
        <v>40.0</v>
      </c>
      <c r="F168" s="8">
        <f t="shared" si="1"/>
        <v>12.73239545</v>
      </c>
      <c r="G168" s="8">
        <f t="shared" si="8"/>
        <v>15.14145526</v>
      </c>
      <c r="H168" s="6">
        <v>10.0</v>
      </c>
      <c r="I168" s="9">
        <v>520.0</v>
      </c>
      <c r="J168" s="10">
        <f t="shared" si="3"/>
        <v>7.153548354</v>
      </c>
      <c r="K168" s="8">
        <f t="shared" si="4"/>
        <v>0.2861419341</v>
      </c>
      <c r="L168" s="8">
        <f t="shared" si="5"/>
        <v>1.487938058</v>
      </c>
      <c r="M168" s="8">
        <f t="shared" si="6"/>
        <v>8.927628345</v>
      </c>
      <c r="N168" s="11"/>
      <c r="O168" s="11"/>
    </row>
    <row r="169" ht="22.5" customHeight="1">
      <c r="A169" s="6" t="s">
        <v>19</v>
      </c>
      <c r="B169" s="6" t="s">
        <v>59</v>
      </c>
      <c r="C169" s="7" t="s">
        <v>36</v>
      </c>
      <c r="D169" s="6">
        <v>1.0</v>
      </c>
      <c r="E169" s="6">
        <v>42.0</v>
      </c>
      <c r="F169" s="8">
        <f t="shared" si="1"/>
        <v>13.36901522</v>
      </c>
      <c r="G169" s="8">
        <f t="shared" si="8"/>
        <v>13.36901522</v>
      </c>
      <c r="H169" s="6">
        <v>12.0</v>
      </c>
      <c r="I169" s="9">
        <v>690.0</v>
      </c>
      <c r="J169" s="10">
        <f t="shared" si="3"/>
        <v>8.834027285</v>
      </c>
      <c r="K169" s="8">
        <f t="shared" si="4"/>
        <v>0.3533610914</v>
      </c>
      <c r="L169" s="8">
        <f t="shared" si="5"/>
        <v>1.837477675</v>
      </c>
      <c r="M169" s="8">
        <f t="shared" si="6"/>
        <v>11.02486605</v>
      </c>
      <c r="N169" s="11"/>
      <c r="O169" s="11"/>
    </row>
    <row r="170" ht="22.5" customHeight="1">
      <c r="A170" s="6" t="s">
        <v>24</v>
      </c>
      <c r="B170" s="6" t="s">
        <v>33</v>
      </c>
      <c r="C170" s="7" t="s">
        <v>34</v>
      </c>
      <c r="D170" s="6">
        <v>4.0</v>
      </c>
      <c r="E170" s="6">
        <v>42.0</v>
      </c>
      <c r="F170" s="8">
        <f t="shared" si="1"/>
        <v>13.36901522</v>
      </c>
      <c r="G170" s="8">
        <f t="shared" si="8"/>
        <v>18.90664264</v>
      </c>
      <c r="H170" s="6">
        <v>12.0</v>
      </c>
      <c r="I170" s="9">
        <v>520.0</v>
      </c>
      <c r="J170" s="10">
        <f t="shared" si="3"/>
        <v>13.18458799</v>
      </c>
      <c r="K170" s="8">
        <f t="shared" si="4"/>
        <v>0.5273835196</v>
      </c>
      <c r="L170" s="8">
        <f t="shared" si="5"/>
        <v>2.742394302</v>
      </c>
      <c r="M170" s="8">
        <f t="shared" si="6"/>
        <v>16.45436581</v>
      </c>
      <c r="N170" s="11"/>
      <c r="O170" s="11"/>
    </row>
    <row r="171" ht="22.5" customHeight="1">
      <c r="A171" s="6" t="s">
        <v>19</v>
      </c>
      <c r="B171" s="6" t="s">
        <v>20</v>
      </c>
      <c r="C171" s="7" t="s">
        <v>21</v>
      </c>
      <c r="D171" s="6">
        <v>1.0</v>
      </c>
      <c r="E171" s="6">
        <v>43.0</v>
      </c>
      <c r="F171" s="8">
        <f t="shared" si="1"/>
        <v>13.68732511</v>
      </c>
      <c r="G171" s="8">
        <f t="shared" si="8"/>
        <v>13.68732511</v>
      </c>
      <c r="H171" s="6">
        <v>11.0</v>
      </c>
      <c r="I171" s="9">
        <v>520.0</v>
      </c>
      <c r="J171" s="10">
        <f t="shared" si="3"/>
        <v>6.446551584</v>
      </c>
      <c r="K171" s="8">
        <f t="shared" si="4"/>
        <v>0.2578620633</v>
      </c>
      <c r="L171" s="8">
        <f t="shared" si="5"/>
        <v>1.340882729</v>
      </c>
      <c r="M171" s="8">
        <f t="shared" si="6"/>
        <v>8.045296376</v>
      </c>
      <c r="N171" s="11"/>
      <c r="O171" s="11"/>
    </row>
    <row r="172" ht="22.5" customHeight="1">
      <c r="A172" s="6" t="s">
        <v>19</v>
      </c>
      <c r="B172" s="6" t="s">
        <v>20</v>
      </c>
      <c r="C172" s="7" t="s">
        <v>21</v>
      </c>
      <c r="D172" s="6">
        <v>1.0</v>
      </c>
      <c r="E172" s="6">
        <v>43.0</v>
      </c>
      <c r="F172" s="8">
        <f t="shared" si="1"/>
        <v>13.68732511</v>
      </c>
      <c r="G172" s="8">
        <f t="shared" si="8"/>
        <v>13.68732511</v>
      </c>
      <c r="H172" s="6">
        <v>15.0</v>
      </c>
      <c r="I172" s="9">
        <v>520.0</v>
      </c>
      <c r="J172" s="10">
        <f t="shared" si="3"/>
        <v>8.725559217</v>
      </c>
      <c r="K172" s="8">
        <f t="shared" si="4"/>
        <v>0.3490223687</v>
      </c>
      <c r="L172" s="8">
        <f t="shared" si="5"/>
        <v>1.814916317</v>
      </c>
      <c r="M172" s="8">
        <f t="shared" si="6"/>
        <v>10.8894979</v>
      </c>
      <c r="N172" s="11"/>
      <c r="O172" s="11"/>
    </row>
    <row r="173" ht="22.5" customHeight="1">
      <c r="A173" s="6" t="s">
        <v>19</v>
      </c>
      <c r="B173" s="6" t="s">
        <v>20</v>
      </c>
      <c r="C173" s="7" t="s">
        <v>21</v>
      </c>
      <c r="D173" s="6">
        <v>1.0</v>
      </c>
      <c r="E173" s="6">
        <v>43.0</v>
      </c>
      <c r="F173" s="8">
        <f t="shared" si="1"/>
        <v>13.68732511</v>
      </c>
      <c r="G173" s="8">
        <f t="shared" si="8"/>
        <v>13.68732511</v>
      </c>
      <c r="H173" s="6">
        <v>8.0</v>
      </c>
      <c r="I173" s="9">
        <v>520.0</v>
      </c>
      <c r="J173" s="10">
        <f t="shared" si="3"/>
        <v>4.724371367</v>
      </c>
      <c r="K173" s="8">
        <f t="shared" si="4"/>
        <v>0.1889748547</v>
      </c>
      <c r="L173" s="8">
        <f t="shared" si="5"/>
        <v>0.9826692443</v>
      </c>
      <c r="M173" s="8">
        <f t="shared" si="6"/>
        <v>5.896015466</v>
      </c>
      <c r="N173" s="11"/>
      <c r="O173" s="11"/>
    </row>
    <row r="174" ht="22.5" customHeight="1">
      <c r="A174" s="6" t="s">
        <v>19</v>
      </c>
      <c r="B174" s="6" t="s">
        <v>20</v>
      </c>
      <c r="C174" s="7" t="s">
        <v>21</v>
      </c>
      <c r="D174" s="6">
        <v>1.0</v>
      </c>
      <c r="E174" s="6">
        <v>43.0</v>
      </c>
      <c r="F174" s="8">
        <f t="shared" si="1"/>
        <v>13.68732511</v>
      </c>
      <c r="G174" s="8">
        <f t="shared" si="8"/>
        <v>13.68732511</v>
      </c>
      <c r="H174" s="6">
        <v>8.0</v>
      </c>
      <c r="I174" s="9">
        <v>520.0</v>
      </c>
      <c r="J174" s="10">
        <f t="shared" si="3"/>
        <v>4.724371367</v>
      </c>
      <c r="K174" s="8">
        <f t="shared" si="4"/>
        <v>0.1889748547</v>
      </c>
      <c r="L174" s="8">
        <f t="shared" si="5"/>
        <v>0.9826692443</v>
      </c>
      <c r="M174" s="8">
        <f t="shared" si="6"/>
        <v>5.896015466</v>
      </c>
      <c r="N174" s="11"/>
      <c r="O174" s="11"/>
    </row>
    <row r="175" ht="22.5" customHeight="1">
      <c r="A175" s="6" t="s">
        <v>19</v>
      </c>
      <c r="B175" s="6" t="s">
        <v>20</v>
      </c>
      <c r="C175" s="7" t="s">
        <v>21</v>
      </c>
      <c r="D175" s="6">
        <v>1.0</v>
      </c>
      <c r="E175" s="6">
        <v>43.0</v>
      </c>
      <c r="F175" s="8">
        <f t="shared" si="1"/>
        <v>13.68732511</v>
      </c>
      <c r="G175" s="8">
        <f t="shared" si="8"/>
        <v>13.68732511</v>
      </c>
      <c r="H175" s="6">
        <v>14.0</v>
      </c>
      <c r="I175" s="9">
        <v>520.0</v>
      </c>
      <c r="J175" s="10">
        <f t="shared" si="3"/>
        <v>8.15735127</v>
      </c>
      <c r="K175" s="8">
        <f t="shared" si="4"/>
        <v>0.3262940508</v>
      </c>
      <c r="L175" s="8">
        <f t="shared" si="5"/>
        <v>1.696729064</v>
      </c>
      <c r="M175" s="8">
        <f t="shared" si="6"/>
        <v>10.18037439</v>
      </c>
      <c r="N175" s="11"/>
      <c r="O175" s="11"/>
    </row>
    <row r="176" ht="22.5" customHeight="1">
      <c r="A176" s="6" t="s">
        <v>19</v>
      </c>
      <c r="B176" s="6" t="s">
        <v>20</v>
      </c>
      <c r="C176" s="7" t="s">
        <v>21</v>
      </c>
      <c r="D176" s="6">
        <v>1.0</v>
      </c>
      <c r="E176" s="6">
        <v>44.0</v>
      </c>
      <c r="F176" s="8">
        <f t="shared" si="1"/>
        <v>14.00563499</v>
      </c>
      <c r="G176" s="8">
        <f t="shared" si="8"/>
        <v>14.00563499</v>
      </c>
      <c r="H176" s="6">
        <v>15.0</v>
      </c>
      <c r="I176" s="9">
        <v>520.0</v>
      </c>
      <c r="J176" s="10">
        <f t="shared" si="3"/>
        <v>9.126042132</v>
      </c>
      <c r="K176" s="8">
        <f t="shared" si="4"/>
        <v>0.3650416853</v>
      </c>
      <c r="L176" s="8">
        <f t="shared" si="5"/>
        <v>1.898216764</v>
      </c>
      <c r="M176" s="8">
        <f t="shared" si="6"/>
        <v>11.38930058</v>
      </c>
      <c r="N176" s="11"/>
      <c r="O176" s="11"/>
    </row>
    <row r="177" ht="22.5" customHeight="1">
      <c r="A177" s="6" t="s">
        <v>19</v>
      </c>
      <c r="B177" s="6" t="s">
        <v>20</v>
      </c>
      <c r="C177" s="7" t="s">
        <v>21</v>
      </c>
      <c r="D177" s="6">
        <v>2.0</v>
      </c>
      <c r="E177" s="6">
        <v>44.0</v>
      </c>
      <c r="F177" s="8">
        <f t="shared" si="1"/>
        <v>14.00563499</v>
      </c>
      <c r="G177" s="8">
        <f t="shared" si="8"/>
        <v>16.65560078</v>
      </c>
      <c r="H177" s="6">
        <v>12.0</v>
      </c>
      <c r="I177" s="9">
        <v>520.0</v>
      </c>
      <c r="J177" s="10">
        <f t="shared" si="3"/>
        <v>10.29439752</v>
      </c>
      <c r="K177" s="8">
        <f t="shared" si="4"/>
        <v>0.4117759008</v>
      </c>
      <c r="L177" s="8">
        <f t="shared" si="5"/>
        <v>2.141234684</v>
      </c>
      <c r="M177" s="8">
        <f t="shared" si="6"/>
        <v>12.84740811</v>
      </c>
      <c r="N177" s="11"/>
      <c r="O177" s="11"/>
    </row>
    <row r="178" ht="22.5" customHeight="1">
      <c r="A178" s="6" t="s">
        <v>27</v>
      </c>
      <c r="B178" s="6" t="s">
        <v>57</v>
      </c>
      <c r="C178" s="7" t="s">
        <v>51</v>
      </c>
      <c r="D178" s="6">
        <v>2.0</v>
      </c>
      <c r="E178" s="6">
        <v>44.0</v>
      </c>
      <c r="F178" s="8">
        <f t="shared" si="1"/>
        <v>14.00563499</v>
      </c>
      <c r="G178" s="8">
        <f t="shared" si="8"/>
        <v>16.65560078</v>
      </c>
      <c r="H178" s="6">
        <v>12.0</v>
      </c>
      <c r="I178" s="9">
        <v>560.0</v>
      </c>
      <c r="J178" s="10">
        <f t="shared" si="3"/>
        <v>11.06657383</v>
      </c>
      <c r="K178" s="8">
        <f t="shared" si="4"/>
        <v>0.4426629531</v>
      </c>
      <c r="L178" s="8">
        <f t="shared" si="5"/>
        <v>2.301847356</v>
      </c>
      <c r="M178" s="8">
        <f t="shared" si="6"/>
        <v>13.81108414</v>
      </c>
      <c r="N178" s="11"/>
      <c r="O178" s="11"/>
    </row>
    <row r="179" ht="22.5" customHeight="1">
      <c r="A179" s="6" t="s">
        <v>19</v>
      </c>
      <c r="B179" s="6" t="s">
        <v>59</v>
      </c>
      <c r="C179" s="7" t="s">
        <v>36</v>
      </c>
      <c r="D179" s="6">
        <v>1.0</v>
      </c>
      <c r="E179" s="6">
        <v>45.0</v>
      </c>
      <c r="F179" s="8">
        <f t="shared" si="1"/>
        <v>14.32394488</v>
      </c>
      <c r="G179" s="8">
        <f t="shared" si="8"/>
        <v>14.32394488</v>
      </c>
      <c r="H179" s="6">
        <v>8.0</v>
      </c>
      <c r="I179" s="9">
        <v>690.0</v>
      </c>
      <c r="J179" s="10">
        <f t="shared" si="3"/>
        <v>6.804275342</v>
      </c>
      <c r="K179" s="8">
        <f t="shared" si="4"/>
        <v>0.2721710137</v>
      </c>
      <c r="L179" s="8">
        <f t="shared" si="5"/>
        <v>1.415289271</v>
      </c>
      <c r="M179" s="8">
        <f t="shared" si="6"/>
        <v>8.491735627</v>
      </c>
      <c r="N179" s="11"/>
      <c r="O179" s="11"/>
    </row>
    <row r="180" ht="22.5" customHeight="1">
      <c r="A180" s="6" t="s">
        <v>25</v>
      </c>
      <c r="B180" s="6" t="s">
        <v>67</v>
      </c>
      <c r="C180" s="7" t="s">
        <v>40</v>
      </c>
      <c r="D180" s="6">
        <v>1.0</v>
      </c>
      <c r="E180" s="6">
        <v>45.0</v>
      </c>
      <c r="F180" s="8">
        <f t="shared" si="1"/>
        <v>14.32394488</v>
      </c>
      <c r="G180" s="8">
        <f t="shared" si="8"/>
        <v>14.32394488</v>
      </c>
      <c r="H180" s="6">
        <v>13.0</v>
      </c>
      <c r="I180" s="9">
        <v>790.0</v>
      </c>
      <c r="J180" s="10">
        <f t="shared" si="3"/>
        <v>12.47217203</v>
      </c>
      <c r="K180" s="8">
        <f t="shared" si="4"/>
        <v>0.4988868813</v>
      </c>
      <c r="L180" s="8">
        <f t="shared" si="5"/>
        <v>2.594211783</v>
      </c>
      <c r="M180" s="8">
        <f t="shared" si="6"/>
        <v>15.5652707</v>
      </c>
      <c r="N180" s="11"/>
      <c r="O180" s="11"/>
    </row>
    <row r="181" ht="22.5" customHeight="1">
      <c r="A181" s="6" t="s">
        <v>19</v>
      </c>
      <c r="B181" s="6" t="s">
        <v>20</v>
      </c>
      <c r="C181" s="7" t="s">
        <v>21</v>
      </c>
      <c r="D181" s="6">
        <v>1.0</v>
      </c>
      <c r="E181" s="6">
        <v>45.0</v>
      </c>
      <c r="F181" s="8">
        <f t="shared" si="1"/>
        <v>14.32394488</v>
      </c>
      <c r="G181" s="8">
        <f t="shared" si="8"/>
        <v>14.32394488</v>
      </c>
      <c r="H181" s="6">
        <v>14.0</v>
      </c>
      <c r="I181" s="9">
        <v>520.0</v>
      </c>
      <c r="J181" s="10">
        <f t="shared" si="3"/>
        <v>8.914347624</v>
      </c>
      <c r="K181" s="8">
        <f t="shared" si="4"/>
        <v>0.356573905</v>
      </c>
      <c r="L181" s="8">
        <f t="shared" si="5"/>
        <v>1.854184306</v>
      </c>
      <c r="M181" s="8">
        <f t="shared" si="6"/>
        <v>11.12510583</v>
      </c>
      <c r="N181" s="11"/>
      <c r="O181" s="11"/>
    </row>
    <row r="182" ht="22.5" customHeight="1">
      <c r="A182" s="6" t="s">
        <v>19</v>
      </c>
      <c r="B182" s="6" t="s">
        <v>20</v>
      </c>
      <c r="C182" s="7" t="s">
        <v>21</v>
      </c>
      <c r="D182" s="6">
        <v>1.0</v>
      </c>
      <c r="E182" s="6">
        <v>45.0</v>
      </c>
      <c r="F182" s="8">
        <f t="shared" si="1"/>
        <v>14.32394488</v>
      </c>
      <c r="G182" s="8">
        <f t="shared" si="8"/>
        <v>14.32394488</v>
      </c>
      <c r="H182" s="6">
        <v>15.0</v>
      </c>
      <c r="I182" s="9">
        <v>520.0</v>
      </c>
      <c r="J182" s="10">
        <f t="shared" si="3"/>
        <v>9.53528486</v>
      </c>
      <c r="K182" s="8">
        <f t="shared" si="4"/>
        <v>0.3814113944</v>
      </c>
      <c r="L182" s="8">
        <f t="shared" si="5"/>
        <v>1.983339251</v>
      </c>
      <c r="M182" s="8">
        <f t="shared" si="6"/>
        <v>11.90003551</v>
      </c>
      <c r="N182" s="11"/>
      <c r="O182" s="11"/>
    </row>
    <row r="183" ht="22.5" customHeight="1">
      <c r="A183" s="6" t="s">
        <v>19</v>
      </c>
      <c r="B183" s="6" t="s">
        <v>20</v>
      </c>
      <c r="C183" s="7" t="s">
        <v>21</v>
      </c>
      <c r="D183" s="6">
        <v>1.0</v>
      </c>
      <c r="E183" s="6">
        <v>45.0</v>
      </c>
      <c r="F183" s="8">
        <f t="shared" si="1"/>
        <v>14.32394488</v>
      </c>
      <c r="G183" s="8">
        <f t="shared" si="8"/>
        <v>14.32394488</v>
      </c>
      <c r="H183" s="6">
        <v>14.0</v>
      </c>
      <c r="I183" s="9">
        <v>520.0</v>
      </c>
      <c r="J183" s="10">
        <f t="shared" si="3"/>
        <v>8.914347624</v>
      </c>
      <c r="K183" s="8">
        <f t="shared" si="4"/>
        <v>0.356573905</v>
      </c>
      <c r="L183" s="8">
        <f t="shared" si="5"/>
        <v>1.854184306</v>
      </c>
      <c r="M183" s="8">
        <f t="shared" si="6"/>
        <v>11.12510583</v>
      </c>
      <c r="N183" s="11"/>
      <c r="O183" s="11"/>
    </row>
    <row r="184" ht="22.5" customHeight="1">
      <c r="A184" s="6" t="s">
        <v>19</v>
      </c>
      <c r="B184" s="6" t="s">
        <v>20</v>
      </c>
      <c r="C184" s="7" t="s">
        <v>21</v>
      </c>
      <c r="D184" s="6">
        <v>1.0</v>
      </c>
      <c r="E184" s="6">
        <v>45.0</v>
      </c>
      <c r="F184" s="8">
        <f t="shared" si="1"/>
        <v>14.32394488</v>
      </c>
      <c r="G184" s="8">
        <f t="shared" si="8"/>
        <v>14.32394488</v>
      </c>
      <c r="H184" s="6">
        <v>15.0</v>
      </c>
      <c r="I184" s="9">
        <v>520.0</v>
      </c>
      <c r="J184" s="10">
        <f t="shared" si="3"/>
        <v>9.53528486</v>
      </c>
      <c r="K184" s="8">
        <f t="shared" si="4"/>
        <v>0.3814113944</v>
      </c>
      <c r="L184" s="8">
        <f t="shared" si="5"/>
        <v>1.983339251</v>
      </c>
      <c r="M184" s="8">
        <f t="shared" si="6"/>
        <v>11.90003551</v>
      </c>
      <c r="N184" s="11"/>
      <c r="O184" s="11"/>
    </row>
    <row r="185" ht="22.5" customHeight="1">
      <c r="A185" s="6" t="s">
        <v>19</v>
      </c>
      <c r="B185" s="6" t="s">
        <v>20</v>
      </c>
      <c r="C185" s="7" t="s">
        <v>21</v>
      </c>
      <c r="D185" s="6">
        <v>1.0</v>
      </c>
      <c r="E185" s="6">
        <v>45.0</v>
      </c>
      <c r="F185" s="8">
        <f t="shared" si="1"/>
        <v>14.32394488</v>
      </c>
      <c r="G185" s="8">
        <f t="shared" si="8"/>
        <v>14.32394488</v>
      </c>
      <c r="H185" s="6">
        <v>9.0</v>
      </c>
      <c r="I185" s="9">
        <v>520.0</v>
      </c>
      <c r="J185" s="10">
        <f t="shared" si="3"/>
        <v>5.79174313</v>
      </c>
      <c r="K185" s="8">
        <f t="shared" si="4"/>
        <v>0.2316697252</v>
      </c>
      <c r="L185" s="8">
        <f t="shared" si="5"/>
        <v>1.204682571</v>
      </c>
      <c r="M185" s="8">
        <f t="shared" si="6"/>
        <v>7.228095427</v>
      </c>
      <c r="N185" s="11"/>
      <c r="O185" s="11"/>
    </row>
    <row r="186" ht="22.5" customHeight="1">
      <c r="A186" s="6" t="s">
        <v>19</v>
      </c>
      <c r="B186" s="6" t="s">
        <v>20</v>
      </c>
      <c r="C186" s="7" t="s">
        <v>21</v>
      </c>
      <c r="D186" s="6">
        <v>1.0</v>
      </c>
      <c r="E186" s="6">
        <v>45.0</v>
      </c>
      <c r="F186" s="8">
        <f t="shared" si="1"/>
        <v>14.32394488</v>
      </c>
      <c r="G186" s="8">
        <f t="shared" si="8"/>
        <v>14.32394488</v>
      </c>
      <c r="H186" s="6">
        <v>11.0</v>
      </c>
      <c r="I186" s="9">
        <v>520.0</v>
      </c>
      <c r="J186" s="10">
        <f t="shared" si="3"/>
        <v>7.044786952</v>
      </c>
      <c r="K186" s="8">
        <f t="shared" si="4"/>
        <v>0.2817914781</v>
      </c>
      <c r="L186" s="8">
        <f t="shared" si="5"/>
        <v>1.465315686</v>
      </c>
      <c r="M186" s="8">
        <f t="shared" si="6"/>
        <v>8.791894116</v>
      </c>
      <c r="N186" s="11"/>
      <c r="O186" s="11"/>
    </row>
    <row r="187" ht="22.5" customHeight="1">
      <c r="A187" s="6" t="s">
        <v>19</v>
      </c>
      <c r="B187" s="6" t="s">
        <v>20</v>
      </c>
      <c r="C187" s="7" t="s">
        <v>21</v>
      </c>
      <c r="D187" s="6">
        <v>1.0</v>
      </c>
      <c r="E187" s="6">
        <v>45.0</v>
      </c>
      <c r="F187" s="8">
        <f t="shared" si="1"/>
        <v>14.32394488</v>
      </c>
      <c r="G187" s="8">
        <f t="shared" si="8"/>
        <v>14.32394488</v>
      </c>
      <c r="H187" s="6">
        <v>15.0</v>
      </c>
      <c r="I187" s="9">
        <v>520.0</v>
      </c>
      <c r="J187" s="10">
        <f t="shared" si="3"/>
        <v>9.53528486</v>
      </c>
      <c r="K187" s="8">
        <f t="shared" si="4"/>
        <v>0.3814113944</v>
      </c>
      <c r="L187" s="8">
        <f t="shared" si="5"/>
        <v>1.983339251</v>
      </c>
      <c r="M187" s="8">
        <f t="shared" si="6"/>
        <v>11.90003551</v>
      </c>
      <c r="N187" s="11"/>
      <c r="O187" s="11"/>
    </row>
    <row r="188" ht="22.5" customHeight="1">
      <c r="A188" s="6" t="s">
        <v>24</v>
      </c>
      <c r="B188" s="6" t="s">
        <v>75</v>
      </c>
      <c r="C188" s="7" t="s">
        <v>51</v>
      </c>
      <c r="D188" s="6">
        <v>2.0</v>
      </c>
      <c r="E188" s="6">
        <v>45.0</v>
      </c>
      <c r="F188" s="8">
        <f t="shared" si="1"/>
        <v>14.32394488</v>
      </c>
      <c r="G188" s="8">
        <f t="shared" si="8"/>
        <v>17.03413716</v>
      </c>
      <c r="H188" s="6">
        <v>12.0</v>
      </c>
      <c r="I188" s="9">
        <v>560.0</v>
      </c>
      <c r="J188" s="10">
        <f t="shared" si="3"/>
        <v>11.56283659</v>
      </c>
      <c r="K188" s="8">
        <f t="shared" si="4"/>
        <v>0.4625134635</v>
      </c>
      <c r="L188" s="8">
        <f t="shared" si="5"/>
        <v>2.40507001</v>
      </c>
      <c r="M188" s="8">
        <f t="shared" si="6"/>
        <v>14.43042006</v>
      </c>
      <c r="N188" s="11"/>
      <c r="O188" s="11"/>
    </row>
    <row r="189" ht="22.5" customHeight="1">
      <c r="A189" s="6" t="s">
        <v>19</v>
      </c>
      <c r="B189" s="6" t="s">
        <v>57</v>
      </c>
      <c r="C189" s="7" t="s">
        <v>51</v>
      </c>
      <c r="D189" s="6">
        <v>4.0</v>
      </c>
      <c r="E189" s="6">
        <v>45.0</v>
      </c>
      <c r="F189" s="8">
        <f t="shared" si="1"/>
        <v>14.32394488</v>
      </c>
      <c r="G189" s="8">
        <f t="shared" si="8"/>
        <v>20.25711711</v>
      </c>
      <c r="H189" s="6">
        <v>10.0</v>
      </c>
      <c r="I189" s="9">
        <v>560.0</v>
      </c>
      <c r="J189" s="10">
        <f t="shared" si="3"/>
        <v>13.5733213</v>
      </c>
      <c r="K189" s="8">
        <f t="shared" si="4"/>
        <v>0.5429328522</v>
      </c>
      <c r="L189" s="8">
        <f t="shared" si="5"/>
        <v>2.823250831</v>
      </c>
      <c r="M189" s="8">
        <f t="shared" si="6"/>
        <v>16.93950499</v>
      </c>
      <c r="N189" s="11"/>
      <c r="O189" s="11"/>
    </row>
    <row r="190" ht="22.5" customHeight="1">
      <c r="A190" s="6" t="s">
        <v>28</v>
      </c>
      <c r="B190" s="6" t="s">
        <v>59</v>
      </c>
      <c r="C190" s="7" t="s">
        <v>36</v>
      </c>
      <c r="D190" s="6">
        <v>4.0</v>
      </c>
      <c r="E190" s="6">
        <v>46.0</v>
      </c>
      <c r="F190" s="8">
        <f t="shared" si="1"/>
        <v>14.64225476</v>
      </c>
      <c r="G190" s="8">
        <f t="shared" si="8"/>
        <v>20.70727527</v>
      </c>
      <c r="H190" s="6">
        <v>10.0</v>
      </c>
      <c r="I190" s="9">
        <v>690.0</v>
      </c>
      <c r="J190" s="10">
        <f t="shared" si="3"/>
        <v>17.37015879</v>
      </c>
      <c r="K190" s="8">
        <f t="shared" si="4"/>
        <v>0.6948063515</v>
      </c>
      <c r="L190" s="8">
        <f t="shared" si="5"/>
        <v>3.612993028</v>
      </c>
      <c r="M190" s="8">
        <f t="shared" si="6"/>
        <v>21.67795817</v>
      </c>
      <c r="N190" s="11"/>
      <c r="O190" s="11"/>
    </row>
    <row r="191" ht="22.5" customHeight="1">
      <c r="A191" s="6" t="s">
        <v>19</v>
      </c>
      <c r="B191" s="6" t="s">
        <v>20</v>
      </c>
      <c r="C191" s="7" t="s">
        <v>21</v>
      </c>
      <c r="D191" s="6">
        <v>1.0</v>
      </c>
      <c r="E191" s="6">
        <v>46.0</v>
      </c>
      <c r="F191" s="8">
        <f t="shared" si="1"/>
        <v>14.64225476</v>
      </c>
      <c r="G191" s="8">
        <f t="shared" si="8"/>
        <v>14.64225476</v>
      </c>
      <c r="H191" s="6">
        <v>13.0</v>
      </c>
      <c r="I191" s="9">
        <v>520.0</v>
      </c>
      <c r="J191" s="10">
        <f t="shared" si="3"/>
        <v>8.655851068</v>
      </c>
      <c r="K191" s="8">
        <f t="shared" si="4"/>
        <v>0.3462340427</v>
      </c>
      <c r="L191" s="8">
        <f t="shared" si="5"/>
        <v>1.800417022</v>
      </c>
      <c r="M191" s="8">
        <f t="shared" si="6"/>
        <v>10.80250213</v>
      </c>
      <c r="N191" s="11"/>
      <c r="O191" s="11"/>
    </row>
    <row r="192" ht="22.5" customHeight="1">
      <c r="A192" s="6" t="s">
        <v>19</v>
      </c>
      <c r="B192" s="6" t="s">
        <v>20</v>
      </c>
      <c r="C192" s="7" t="s">
        <v>21</v>
      </c>
      <c r="D192" s="6">
        <v>1.0</v>
      </c>
      <c r="E192" s="6">
        <v>46.0</v>
      </c>
      <c r="F192" s="8">
        <f t="shared" si="1"/>
        <v>14.64225476</v>
      </c>
      <c r="G192" s="8">
        <f t="shared" si="8"/>
        <v>14.64225476</v>
      </c>
      <c r="H192" s="6">
        <v>15.0</v>
      </c>
      <c r="I192" s="9">
        <v>520.0</v>
      </c>
      <c r="J192" s="10">
        <f t="shared" si="3"/>
        <v>9.953277956</v>
      </c>
      <c r="K192" s="8">
        <f t="shared" si="4"/>
        <v>0.3981311183</v>
      </c>
      <c r="L192" s="8">
        <f t="shared" si="5"/>
        <v>2.070281815</v>
      </c>
      <c r="M192" s="8">
        <f t="shared" si="6"/>
        <v>12.42169089</v>
      </c>
      <c r="N192" s="11"/>
      <c r="O192" s="11"/>
    </row>
    <row r="193" ht="22.5" customHeight="1">
      <c r="A193" s="6" t="s">
        <v>19</v>
      </c>
      <c r="B193" s="6" t="s">
        <v>20</v>
      </c>
      <c r="C193" s="7" t="s">
        <v>21</v>
      </c>
      <c r="D193" s="6">
        <v>1.0</v>
      </c>
      <c r="E193" s="6">
        <v>46.0</v>
      </c>
      <c r="F193" s="8">
        <f t="shared" si="1"/>
        <v>14.64225476</v>
      </c>
      <c r="G193" s="8">
        <f t="shared" si="8"/>
        <v>14.64225476</v>
      </c>
      <c r="H193" s="6">
        <v>11.0</v>
      </c>
      <c r="I193" s="9">
        <v>520.0</v>
      </c>
      <c r="J193" s="10">
        <f t="shared" si="3"/>
        <v>7.353605445</v>
      </c>
      <c r="K193" s="8">
        <f t="shared" si="4"/>
        <v>0.2941442178</v>
      </c>
      <c r="L193" s="8">
        <f t="shared" si="5"/>
        <v>1.529549933</v>
      </c>
      <c r="M193" s="8">
        <f t="shared" si="6"/>
        <v>9.177299596</v>
      </c>
      <c r="N193" s="11"/>
      <c r="O193" s="11"/>
    </row>
    <row r="194" ht="22.5" customHeight="1">
      <c r="A194" s="6" t="s">
        <v>26</v>
      </c>
      <c r="B194" s="6" t="s">
        <v>59</v>
      </c>
      <c r="C194" s="7" t="s">
        <v>36</v>
      </c>
      <c r="D194" s="6">
        <v>2.0</v>
      </c>
      <c r="E194" s="6">
        <v>47.0</v>
      </c>
      <c r="F194" s="8">
        <f t="shared" si="1"/>
        <v>14.96056465</v>
      </c>
      <c r="G194" s="8">
        <f t="shared" si="8"/>
        <v>17.79120993</v>
      </c>
      <c r="H194" s="6">
        <v>10.0</v>
      </c>
      <c r="I194" s="9">
        <v>690.0</v>
      </c>
      <c r="J194" s="10">
        <f t="shared" si="3"/>
        <v>12.91614411</v>
      </c>
      <c r="K194" s="8">
        <f t="shared" si="4"/>
        <v>0.5166457643</v>
      </c>
      <c r="L194" s="8">
        <f t="shared" si="5"/>
        <v>2.686557974</v>
      </c>
      <c r="M194" s="8">
        <f t="shared" si="6"/>
        <v>16.11934785</v>
      </c>
      <c r="N194" s="11"/>
      <c r="O194" s="11"/>
    </row>
    <row r="195" ht="22.5" customHeight="1">
      <c r="A195" s="6" t="s">
        <v>19</v>
      </c>
      <c r="B195" s="6" t="s">
        <v>59</v>
      </c>
      <c r="C195" s="7" t="s">
        <v>36</v>
      </c>
      <c r="D195" s="6">
        <v>3.0</v>
      </c>
      <c r="E195" s="6">
        <v>48.0</v>
      </c>
      <c r="F195" s="8">
        <f t="shared" si="1"/>
        <v>15.27887454</v>
      </c>
      <c r="G195" s="8">
        <f t="shared" si="8"/>
        <v>20.10812973</v>
      </c>
      <c r="H195" s="6">
        <v>8.0</v>
      </c>
      <c r="I195" s="9">
        <v>690.0</v>
      </c>
      <c r="J195" s="10">
        <f t="shared" si="3"/>
        <v>13.19256128</v>
      </c>
      <c r="K195" s="8">
        <f t="shared" si="4"/>
        <v>0.5277024513</v>
      </c>
      <c r="L195" s="8">
        <f t="shared" si="5"/>
        <v>2.744052747</v>
      </c>
      <c r="M195" s="8">
        <f t="shared" si="6"/>
        <v>16.46431648</v>
      </c>
      <c r="N195" s="11"/>
      <c r="O195" s="11"/>
    </row>
    <row r="196" ht="22.5" customHeight="1">
      <c r="A196" s="6" t="s">
        <v>19</v>
      </c>
      <c r="B196" s="6" t="s">
        <v>73</v>
      </c>
      <c r="C196" s="7" t="s">
        <v>43</v>
      </c>
      <c r="D196" s="6">
        <v>1.0</v>
      </c>
      <c r="E196" s="6">
        <v>48.0</v>
      </c>
      <c r="F196" s="8">
        <f t="shared" si="1"/>
        <v>15.27887454</v>
      </c>
      <c r="G196" s="8">
        <f t="shared" si="8"/>
        <v>15.27887454</v>
      </c>
      <c r="H196" s="6">
        <v>9.0</v>
      </c>
      <c r="I196" s="9">
        <v>630.0</v>
      </c>
      <c r="J196" s="10">
        <f t="shared" si="3"/>
        <v>7.922431149</v>
      </c>
      <c r="K196" s="8">
        <f t="shared" si="4"/>
        <v>0.3168972459</v>
      </c>
      <c r="L196" s="8">
        <f t="shared" si="5"/>
        <v>1.647865679</v>
      </c>
      <c r="M196" s="8">
        <f t="shared" si="6"/>
        <v>9.887194073</v>
      </c>
      <c r="N196" s="11"/>
      <c r="O196" s="11"/>
    </row>
    <row r="197" ht="22.5" customHeight="1">
      <c r="A197" s="6" t="s">
        <v>19</v>
      </c>
      <c r="B197" s="6" t="s">
        <v>20</v>
      </c>
      <c r="C197" s="7" t="s">
        <v>21</v>
      </c>
      <c r="D197" s="6">
        <v>1.0</v>
      </c>
      <c r="E197" s="6">
        <v>48.0</v>
      </c>
      <c r="F197" s="8">
        <f t="shared" si="1"/>
        <v>15.27887454</v>
      </c>
      <c r="G197" s="8">
        <f t="shared" si="8"/>
        <v>15.27887454</v>
      </c>
      <c r="H197" s="6">
        <v>14.0</v>
      </c>
      <c r="I197" s="9">
        <v>520.0</v>
      </c>
      <c r="J197" s="10">
        <f t="shared" si="3"/>
        <v>10.11117517</v>
      </c>
      <c r="K197" s="8">
        <f t="shared" si="4"/>
        <v>0.4044470068</v>
      </c>
      <c r="L197" s="8">
        <f t="shared" si="5"/>
        <v>2.103124435</v>
      </c>
      <c r="M197" s="8">
        <f t="shared" si="6"/>
        <v>12.61874661</v>
      </c>
      <c r="N197" s="11"/>
      <c r="O197" s="11"/>
    </row>
    <row r="198" ht="22.5" customHeight="1">
      <c r="A198" s="6" t="s">
        <v>19</v>
      </c>
      <c r="B198" s="6" t="s">
        <v>20</v>
      </c>
      <c r="C198" s="7" t="s">
        <v>21</v>
      </c>
      <c r="D198" s="6">
        <v>1.0</v>
      </c>
      <c r="E198" s="6">
        <v>48.0</v>
      </c>
      <c r="F198" s="8">
        <f t="shared" si="1"/>
        <v>15.27887454</v>
      </c>
      <c r="G198" s="8">
        <f t="shared" si="8"/>
        <v>15.27887454</v>
      </c>
      <c r="H198" s="6">
        <v>14.0</v>
      </c>
      <c r="I198" s="9">
        <v>520.0</v>
      </c>
      <c r="J198" s="10">
        <f t="shared" si="3"/>
        <v>10.11117517</v>
      </c>
      <c r="K198" s="8">
        <f t="shared" si="4"/>
        <v>0.4044470068</v>
      </c>
      <c r="L198" s="8">
        <f t="shared" si="5"/>
        <v>2.103124435</v>
      </c>
      <c r="M198" s="8">
        <f t="shared" si="6"/>
        <v>12.61874661</v>
      </c>
      <c r="N198" s="11"/>
      <c r="O198" s="11"/>
    </row>
    <row r="199" ht="22.5" customHeight="1">
      <c r="A199" s="6" t="s">
        <v>27</v>
      </c>
      <c r="B199" s="6" t="s">
        <v>57</v>
      </c>
      <c r="C199" s="7" t="s">
        <v>51</v>
      </c>
      <c r="D199" s="6">
        <v>4.0</v>
      </c>
      <c r="E199" s="6">
        <v>48.0</v>
      </c>
      <c r="F199" s="8">
        <f t="shared" si="1"/>
        <v>15.27887454</v>
      </c>
      <c r="G199" s="8">
        <f t="shared" si="8"/>
        <v>21.60759159</v>
      </c>
      <c r="H199" s="6">
        <v>9.0</v>
      </c>
      <c r="I199" s="9">
        <v>560.0</v>
      </c>
      <c r="J199" s="10">
        <f t="shared" si="3"/>
        <v>13.89117196</v>
      </c>
      <c r="K199" s="8">
        <f t="shared" si="4"/>
        <v>0.5556468783</v>
      </c>
      <c r="L199" s="8">
        <f t="shared" si="5"/>
        <v>2.889363767</v>
      </c>
      <c r="M199" s="8">
        <f t="shared" si="6"/>
        <v>17.3361826</v>
      </c>
      <c r="N199" s="11"/>
      <c r="O199" s="11"/>
    </row>
    <row r="200" ht="22.5" customHeight="1">
      <c r="A200" s="6" t="s">
        <v>19</v>
      </c>
      <c r="B200" s="6" t="s">
        <v>59</v>
      </c>
      <c r="C200" s="7" t="s">
        <v>36</v>
      </c>
      <c r="D200" s="6">
        <v>2.0</v>
      </c>
      <c r="E200" s="6">
        <v>50.0</v>
      </c>
      <c r="F200" s="8">
        <f t="shared" si="1"/>
        <v>15.91549431</v>
      </c>
      <c r="G200" s="8">
        <f t="shared" si="8"/>
        <v>18.92681907</v>
      </c>
      <c r="H200" s="6">
        <v>9.0</v>
      </c>
      <c r="I200" s="9">
        <v>690.0</v>
      </c>
      <c r="J200" s="10">
        <f t="shared" si="3"/>
        <v>13.15006807</v>
      </c>
      <c r="K200" s="8">
        <f t="shared" si="4"/>
        <v>0.5260027227</v>
      </c>
      <c r="L200" s="8">
        <f t="shared" si="5"/>
        <v>2.735214158</v>
      </c>
      <c r="M200" s="8">
        <f t="shared" si="6"/>
        <v>16.41128495</v>
      </c>
      <c r="N200" s="11"/>
      <c r="O200" s="11"/>
    </row>
    <row r="201" ht="22.5" customHeight="1">
      <c r="A201" s="6" t="s">
        <v>19</v>
      </c>
      <c r="B201" s="6" t="s">
        <v>20</v>
      </c>
      <c r="C201" s="7" t="s">
        <v>21</v>
      </c>
      <c r="D201" s="6">
        <v>1.0</v>
      </c>
      <c r="E201" s="6">
        <v>50.0</v>
      </c>
      <c r="F201" s="8">
        <f t="shared" si="1"/>
        <v>15.91549431</v>
      </c>
      <c r="G201" s="8">
        <f t="shared" si="8"/>
        <v>15.91549431</v>
      </c>
      <c r="H201" s="6">
        <v>15.0</v>
      </c>
      <c r="I201" s="9">
        <v>520.0</v>
      </c>
      <c r="J201" s="10">
        <f t="shared" si="3"/>
        <v>11.71257253</v>
      </c>
      <c r="K201" s="8">
        <f t="shared" si="4"/>
        <v>0.4685029014</v>
      </c>
      <c r="L201" s="8">
        <f t="shared" si="5"/>
        <v>2.436215087</v>
      </c>
      <c r="M201" s="8">
        <f t="shared" si="6"/>
        <v>14.61729052</v>
      </c>
      <c r="N201" s="11"/>
      <c r="O201" s="11"/>
    </row>
    <row r="202" ht="22.5" customHeight="1">
      <c r="A202" s="6" t="s">
        <v>19</v>
      </c>
      <c r="B202" s="6" t="s">
        <v>20</v>
      </c>
      <c r="C202" s="7" t="s">
        <v>21</v>
      </c>
      <c r="D202" s="6">
        <v>1.0</v>
      </c>
      <c r="E202" s="6">
        <v>50.0</v>
      </c>
      <c r="F202" s="8">
        <f t="shared" si="1"/>
        <v>15.91549431</v>
      </c>
      <c r="G202" s="8">
        <f t="shared" si="8"/>
        <v>15.91549431</v>
      </c>
      <c r="H202" s="6">
        <v>11.0</v>
      </c>
      <c r="I202" s="9">
        <v>520.0</v>
      </c>
      <c r="J202" s="10">
        <f t="shared" si="3"/>
        <v>8.653394142</v>
      </c>
      <c r="K202" s="8">
        <f t="shared" si="4"/>
        <v>0.3461357657</v>
      </c>
      <c r="L202" s="8">
        <f t="shared" si="5"/>
        <v>1.799905982</v>
      </c>
      <c r="M202" s="8">
        <f t="shared" si="6"/>
        <v>10.79943589</v>
      </c>
      <c r="N202" s="11"/>
      <c r="O202" s="11"/>
    </row>
    <row r="203" ht="22.5" customHeight="1">
      <c r="A203" s="6" t="s">
        <v>19</v>
      </c>
      <c r="B203" s="6" t="s">
        <v>20</v>
      </c>
      <c r="C203" s="7" t="s">
        <v>21</v>
      </c>
      <c r="D203" s="6">
        <v>1.0</v>
      </c>
      <c r="E203" s="6">
        <v>53.0</v>
      </c>
      <c r="F203" s="8">
        <f t="shared" si="1"/>
        <v>16.87042397</v>
      </c>
      <c r="G203" s="8">
        <f t="shared" si="8"/>
        <v>16.87042397</v>
      </c>
      <c r="H203" s="6">
        <v>9.0</v>
      </c>
      <c r="I203" s="9">
        <v>520.0</v>
      </c>
      <c r="J203" s="10">
        <f t="shared" si="3"/>
        <v>7.97122307</v>
      </c>
      <c r="K203" s="8">
        <f t="shared" si="4"/>
        <v>0.3188489228</v>
      </c>
      <c r="L203" s="8">
        <f t="shared" si="5"/>
        <v>1.658014399</v>
      </c>
      <c r="M203" s="8">
        <f t="shared" si="6"/>
        <v>9.948086392</v>
      </c>
      <c r="N203" s="11"/>
      <c r="O203" s="11"/>
    </row>
    <row r="204" ht="22.5" customHeight="1">
      <c r="A204" s="6" t="s">
        <v>19</v>
      </c>
      <c r="B204" s="6" t="s">
        <v>20</v>
      </c>
      <c r="C204" s="7" t="s">
        <v>21</v>
      </c>
      <c r="D204" s="6">
        <v>1.0</v>
      </c>
      <c r="E204" s="6">
        <v>53.0</v>
      </c>
      <c r="F204" s="8">
        <f t="shared" si="1"/>
        <v>16.87042397</v>
      </c>
      <c r="G204" s="8">
        <f t="shared" si="8"/>
        <v>16.87042397</v>
      </c>
      <c r="H204" s="6">
        <v>8.0</v>
      </c>
      <c r="I204" s="9">
        <v>520.0</v>
      </c>
      <c r="J204" s="10">
        <f t="shared" si="3"/>
        <v>7.105589284</v>
      </c>
      <c r="K204" s="8">
        <f t="shared" si="4"/>
        <v>0.2842235714</v>
      </c>
      <c r="L204" s="8">
        <f t="shared" si="5"/>
        <v>1.477962571</v>
      </c>
      <c r="M204" s="8">
        <f t="shared" si="6"/>
        <v>8.867775427</v>
      </c>
      <c r="N204" s="11"/>
      <c r="O204" s="11"/>
    </row>
    <row r="205" ht="22.5" customHeight="1">
      <c r="A205" s="6" t="s">
        <v>19</v>
      </c>
      <c r="B205" s="6" t="s">
        <v>20</v>
      </c>
      <c r="C205" s="7" t="s">
        <v>21</v>
      </c>
      <c r="D205" s="6">
        <v>1.0</v>
      </c>
      <c r="E205" s="6">
        <v>54.0</v>
      </c>
      <c r="F205" s="8">
        <f t="shared" si="1"/>
        <v>17.18873385</v>
      </c>
      <c r="G205" s="8">
        <f t="shared" si="8"/>
        <v>17.18873385</v>
      </c>
      <c r="H205" s="6">
        <v>13.0</v>
      </c>
      <c r="I205" s="9">
        <v>520.0</v>
      </c>
      <c r="J205" s="10">
        <f t="shared" si="3"/>
        <v>11.83693076</v>
      </c>
      <c r="K205" s="8">
        <f t="shared" si="4"/>
        <v>0.4734772303</v>
      </c>
      <c r="L205" s="8">
        <f t="shared" si="5"/>
        <v>2.462081598</v>
      </c>
      <c r="M205" s="8">
        <f t="shared" si="6"/>
        <v>14.77248959</v>
      </c>
      <c r="N205" s="11"/>
      <c r="O205" s="11"/>
    </row>
    <row r="206" ht="22.5" customHeight="1">
      <c r="A206" s="6" t="s">
        <v>19</v>
      </c>
      <c r="B206" s="6" t="s">
        <v>76</v>
      </c>
      <c r="C206" s="7" t="s">
        <v>36</v>
      </c>
      <c r="D206" s="6">
        <v>1.0</v>
      </c>
      <c r="E206" s="6">
        <v>55.0</v>
      </c>
      <c r="F206" s="8">
        <f t="shared" si="1"/>
        <v>17.50704374</v>
      </c>
      <c r="G206" s="8">
        <f t="shared" si="8"/>
        <v>17.50704374</v>
      </c>
      <c r="H206" s="6">
        <v>8.0</v>
      </c>
      <c r="I206" s="9">
        <v>680.0</v>
      </c>
      <c r="J206" s="10">
        <f t="shared" si="3"/>
        <v>9.92455422</v>
      </c>
      <c r="K206" s="8">
        <f t="shared" si="4"/>
        <v>0.3969821688</v>
      </c>
      <c r="L206" s="8">
        <f t="shared" si="5"/>
        <v>2.064307278</v>
      </c>
      <c r="M206" s="8">
        <f t="shared" si="6"/>
        <v>12.38584367</v>
      </c>
      <c r="N206" s="11"/>
      <c r="O206" s="11"/>
    </row>
    <row r="207" ht="22.5" customHeight="1">
      <c r="A207" s="6" t="s">
        <v>26</v>
      </c>
      <c r="B207" s="6" t="s">
        <v>59</v>
      </c>
      <c r="C207" s="7" t="s">
        <v>36</v>
      </c>
      <c r="D207" s="6">
        <v>6.0</v>
      </c>
      <c r="E207" s="6">
        <v>55.0</v>
      </c>
      <c r="F207" s="8">
        <f t="shared" si="1"/>
        <v>17.50704374</v>
      </c>
      <c r="G207" s="8">
        <f t="shared" si="8"/>
        <v>27.4000042</v>
      </c>
      <c r="H207" s="6">
        <v>11.0</v>
      </c>
      <c r="I207" s="9">
        <v>690.0</v>
      </c>
      <c r="J207" s="10">
        <f t="shared" si="3"/>
        <v>32.93216374</v>
      </c>
      <c r="K207" s="8">
        <f t="shared" si="4"/>
        <v>1.31728655</v>
      </c>
      <c r="L207" s="8">
        <f t="shared" si="5"/>
        <v>6.849890058</v>
      </c>
      <c r="M207" s="8">
        <f t="shared" si="6"/>
        <v>41.09934035</v>
      </c>
      <c r="N207" s="11"/>
      <c r="O207" s="11"/>
    </row>
    <row r="208" ht="22.5" customHeight="1">
      <c r="A208" s="6" t="s">
        <v>19</v>
      </c>
      <c r="B208" s="6" t="s">
        <v>20</v>
      </c>
      <c r="C208" s="7" t="s">
        <v>21</v>
      </c>
      <c r="D208" s="6">
        <v>1.0</v>
      </c>
      <c r="E208" s="6">
        <v>55.0</v>
      </c>
      <c r="F208" s="8">
        <f t="shared" si="1"/>
        <v>17.50704374</v>
      </c>
      <c r="G208" s="8">
        <f t="shared" si="8"/>
        <v>17.50704374</v>
      </c>
      <c r="H208" s="6">
        <v>9.0</v>
      </c>
      <c r="I208" s="9">
        <v>520.0</v>
      </c>
      <c r="J208" s="10">
        <f t="shared" si="3"/>
        <v>8.568926846</v>
      </c>
      <c r="K208" s="8">
        <f t="shared" si="4"/>
        <v>0.3427570738</v>
      </c>
      <c r="L208" s="8">
        <f t="shared" si="5"/>
        <v>1.782336784</v>
      </c>
      <c r="M208" s="8">
        <f t="shared" si="6"/>
        <v>10.6940207</v>
      </c>
      <c r="N208" s="11"/>
      <c r="O208" s="11"/>
    </row>
    <row r="209" ht="22.5" customHeight="1">
      <c r="A209" s="6" t="s">
        <v>19</v>
      </c>
      <c r="B209" s="6" t="s">
        <v>20</v>
      </c>
      <c r="C209" s="7" t="s">
        <v>21</v>
      </c>
      <c r="D209" s="6">
        <v>1.0</v>
      </c>
      <c r="E209" s="6">
        <v>55.0</v>
      </c>
      <c r="F209" s="8">
        <f t="shared" si="1"/>
        <v>17.50704374</v>
      </c>
      <c r="G209" s="8">
        <f t="shared" si="8"/>
        <v>17.50704374</v>
      </c>
      <c r="H209" s="6">
        <v>11.0</v>
      </c>
      <c r="I209" s="9">
        <v>520.0</v>
      </c>
      <c r="J209" s="10">
        <f t="shared" si="3"/>
        <v>10.42281446</v>
      </c>
      <c r="K209" s="8">
        <f t="shared" si="4"/>
        <v>0.4169125783</v>
      </c>
      <c r="L209" s="8">
        <f t="shared" si="5"/>
        <v>2.167945407</v>
      </c>
      <c r="M209" s="8">
        <f t="shared" si="6"/>
        <v>13.00767244</v>
      </c>
      <c r="N209" s="11"/>
      <c r="O209" s="11"/>
    </row>
    <row r="210" ht="22.5" customHeight="1">
      <c r="A210" s="6" t="s">
        <v>27</v>
      </c>
      <c r="B210" s="6" t="s">
        <v>57</v>
      </c>
      <c r="C210" s="7" t="s">
        <v>51</v>
      </c>
      <c r="D210" s="6">
        <v>4.0</v>
      </c>
      <c r="E210" s="6">
        <v>55.0</v>
      </c>
      <c r="F210" s="8">
        <f t="shared" si="1"/>
        <v>17.50704374</v>
      </c>
      <c r="G210" s="8">
        <f t="shared" si="8"/>
        <v>24.75869869</v>
      </c>
      <c r="H210" s="6">
        <v>10.0</v>
      </c>
      <c r="I210" s="9">
        <v>560.0</v>
      </c>
      <c r="J210" s="10">
        <f t="shared" si="3"/>
        <v>20.08182937</v>
      </c>
      <c r="K210" s="8">
        <f t="shared" si="4"/>
        <v>0.8032731749</v>
      </c>
      <c r="L210" s="8">
        <f t="shared" si="5"/>
        <v>4.17702051</v>
      </c>
      <c r="M210" s="8">
        <f t="shared" si="6"/>
        <v>25.06212306</v>
      </c>
      <c r="N210" s="11"/>
      <c r="O210" s="11"/>
    </row>
    <row r="211" ht="22.5" customHeight="1">
      <c r="A211" s="6" t="s">
        <v>19</v>
      </c>
      <c r="B211" s="6" t="s">
        <v>42</v>
      </c>
      <c r="C211" s="7" t="s">
        <v>22</v>
      </c>
      <c r="D211" s="6">
        <v>4.0</v>
      </c>
      <c r="E211" s="6">
        <v>60.0</v>
      </c>
      <c r="F211" s="8">
        <f t="shared" si="1"/>
        <v>19.09859317</v>
      </c>
      <c r="G211" s="8">
        <f t="shared" si="8"/>
        <v>27.00948948</v>
      </c>
      <c r="H211" s="6">
        <v>10.0</v>
      </c>
      <c r="I211" s="9">
        <v>540.0</v>
      </c>
      <c r="J211" s="10">
        <f t="shared" si="3"/>
        <v>22.96948928</v>
      </c>
      <c r="K211" s="8">
        <f t="shared" si="4"/>
        <v>0.9187795711</v>
      </c>
      <c r="L211" s="8">
        <f t="shared" si="5"/>
        <v>4.77765377</v>
      </c>
      <c r="M211" s="8">
        <f t="shared" si="6"/>
        <v>28.66592262</v>
      </c>
      <c r="N211" s="11"/>
      <c r="O211" s="11"/>
    </row>
    <row r="212" ht="22.5" customHeight="1">
      <c r="A212" s="6" t="s">
        <v>24</v>
      </c>
      <c r="B212" s="6" t="s">
        <v>59</v>
      </c>
      <c r="C212" s="7" t="s">
        <v>36</v>
      </c>
      <c r="D212" s="6">
        <v>2.0</v>
      </c>
      <c r="E212" s="6">
        <v>60.0</v>
      </c>
      <c r="F212" s="8">
        <f t="shared" si="1"/>
        <v>19.09859317</v>
      </c>
      <c r="G212" s="8">
        <f t="shared" si="8"/>
        <v>22.71218289</v>
      </c>
      <c r="H212" s="6">
        <v>11.0</v>
      </c>
      <c r="I212" s="9">
        <v>690.0</v>
      </c>
      <c r="J212" s="10">
        <f t="shared" si="3"/>
        <v>22.83223179</v>
      </c>
      <c r="K212" s="8">
        <f t="shared" si="4"/>
        <v>0.9132892715</v>
      </c>
      <c r="L212" s="8">
        <f t="shared" si="5"/>
        <v>4.749104212</v>
      </c>
      <c r="M212" s="8">
        <f t="shared" si="6"/>
        <v>28.49462527</v>
      </c>
      <c r="N212" s="11"/>
    </row>
    <row r="213" ht="22.5" customHeight="1">
      <c r="A213" s="6" t="s">
        <v>23</v>
      </c>
      <c r="B213" s="6" t="s">
        <v>67</v>
      </c>
      <c r="C213" s="7" t="s">
        <v>40</v>
      </c>
      <c r="D213" s="6">
        <v>1.0</v>
      </c>
      <c r="E213" s="6">
        <v>60.0</v>
      </c>
      <c r="F213" s="8">
        <f t="shared" si="1"/>
        <v>19.09859317</v>
      </c>
      <c r="G213" s="8">
        <f t="shared" si="8"/>
        <v>19.09859317</v>
      </c>
      <c r="H213" s="6">
        <v>16.0</v>
      </c>
      <c r="I213" s="9">
        <v>790.0</v>
      </c>
      <c r="J213" s="10">
        <f t="shared" si="3"/>
        <v>26.7815</v>
      </c>
      <c r="K213" s="8">
        <f t="shared" si="4"/>
        <v>1.07126</v>
      </c>
      <c r="L213" s="8">
        <f t="shared" si="5"/>
        <v>5.570552</v>
      </c>
      <c r="M213" s="8">
        <f t="shared" si="6"/>
        <v>33.423312</v>
      </c>
      <c r="N213" s="11"/>
    </row>
    <row r="214" ht="22.5" customHeight="1">
      <c r="A214" s="6" t="s">
        <v>19</v>
      </c>
      <c r="B214" s="6" t="s">
        <v>20</v>
      </c>
      <c r="C214" s="7" t="s">
        <v>21</v>
      </c>
      <c r="D214" s="6">
        <v>1.0</v>
      </c>
      <c r="E214" s="6">
        <v>60.0</v>
      </c>
      <c r="F214" s="8">
        <f t="shared" si="1"/>
        <v>19.09859317</v>
      </c>
      <c r="G214" s="8">
        <f t="shared" si="8"/>
        <v>19.09859317</v>
      </c>
      <c r="H214" s="6">
        <v>8.0</v>
      </c>
      <c r="I214" s="9">
        <v>520.0</v>
      </c>
      <c r="J214" s="10">
        <f t="shared" si="3"/>
        <v>9.0524231</v>
      </c>
      <c r="K214" s="8">
        <f t="shared" si="4"/>
        <v>0.362096924</v>
      </c>
      <c r="L214" s="8">
        <f t="shared" si="5"/>
        <v>1.882904005</v>
      </c>
      <c r="M214" s="8">
        <f t="shared" si="6"/>
        <v>11.29742403</v>
      </c>
      <c r="N214" s="11"/>
    </row>
    <row r="215" ht="22.5" customHeight="1">
      <c r="A215" s="6" t="s">
        <v>26</v>
      </c>
      <c r="B215" s="6" t="s">
        <v>59</v>
      </c>
      <c r="C215" s="7" t="s">
        <v>36</v>
      </c>
      <c r="D215" s="6">
        <v>2.0</v>
      </c>
      <c r="E215" s="6">
        <v>62.0</v>
      </c>
      <c r="F215" s="8">
        <f t="shared" si="1"/>
        <v>19.73521294</v>
      </c>
      <c r="G215" s="8">
        <f t="shared" si="8"/>
        <v>23.46925565</v>
      </c>
      <c r="H215" s="6">
        <v>8.0</v>
      </c>
      <c r="I215" s="9">
        <v>690.0</v>
      </c>
      <c r="J215" s="10">
        <f t="shared" si="3"/>
        <v>17.83866166</v>
      </c>
      <c r="K215" s="8">
        <f t="shared" si="4"/>
        <v>0.7135464663</v>
      </c>
      <c r="L215" s="8">
        <f t="shared" si="5"/>
        <v>3.710441625</v>
      </c>
      <c r="M215" s="8">
        <f t="shared" si="6"/>
        <v>22.26264975</v>
      </c>
      <c r="N215" s="11"/>
    </row>
    <row r="216" ht="22.5" customHeight="1">
      <c r="A216" s="6" t="s">
        <v>26</v>
      </c>
      <c r="B216" s="6" t="s">
        <v>57</v>
      </c>
      <c r="C216" s="7" t="s">
        <v>51</v>
      </c>
      <c r="D216" s="6">
        <v>3.0</v>
      </c>
      <c r="E216" s="6">
        <v>62.0</v>
      </c>
      <c r="F216" s="8">
        <f t="shared" si="1"/>
        <v>19.73521294</v>
      </c>
      <c r="G216" s="8">
        <f t="shared" si="8"/>
        <v>25.97300089</v>
      </c>
      <c r="H216" s="6">
        <v>10.0</v>
      </c>
      <c r="I216" s="9">
        <v>560.0</v>
      </c>
      <c r="J216" s="10">
        <f t="shared" si="3"/>
        <v>22.04924775</v>
      </c>
      <c r="K216" s="8">
        <f t="shared" si="4"/>
        <v>0.8819699099</v>
      </c>
      <c r="L216" s="8">
        <f t="shared" si="5"/>
        <v>4.586243532</v>
      </c>
      <c r="M216" s="8">
        <f t="shared" si="6"/>
        <v>27.51746119</v>
      </c>
      <c r="N216" s="11"/>
    </row>
    <row r="217" ht="22.5" customHeight="1">
      <c r="A217" s="6" t="s">
        <v>25</v>
      </c>
      <c r="B217" s="6" t="s">
        <v>77</v>
      </c>
      <c r="C217" s="7" t="s">
        <v>43</v>
      </c>
      <c r="D217" s="6">
        <v>3.0</v>
      </c>
      <c r="E217" s="6">
        <v>65.0</v>
      </c>
      <c r="F217" s="8">
        <f t="shared" si="1"/>
        <v>20.6901426</v>
      </c>
      <c r="G217" s="8">
        <f t="shared" si="8"/>
        <v>27.229759</v>
      </c>
      <c r="H217" s="6">
        <v>9.0</v>
      </c>
      <c r="I217" s="9">
        <v>630.0</v>
      </c>
      <c r="J217" s="10">
        <f t="shared" si="3"/>
        <v>24.47471384</v>
      </c>
      <c r="K217" s="8">
        <f t="shared" si="4"/>
        <v>0.9789885535</v>
      </c>
      <c r="L217" s="8">
        <f t="shared" si="5"/>
        <v>5.090740478</v>
      </c>
      <c r="M217" s="8">
        <f t="shared" si="6"/>
        <v>30.54444287</v>
      </c>
      <c r="N217" s="11"/>
    </row>
    <row r="218" ht="22.5" customHeight="1">
      <c r="A218" s="6" t="s">
        <v>27</v>
      </c>
      <c r="B218" s="6" t="s">
        <v>33</v>
      </c>
      <c r="C218" s="7" t="s">
        <v>34</v>
      </c>
      <c r="D218" s="6">
        <v>1.0</v>
      </c>
      <c r="E218" s="6">
        <v>65.0</v>
      </c>
      <c r="F218" s="8">
        <f t="shared" si="1"/>
        <v>20.6901426</v>
      </c>
      <c r="G218" s="8">
        <f t="shared" si="8"/>
        <v>20.6901426</v>
      </c>
      <c r="H218" s="6">
        <v>12.0</v>
      </c>
      <c r="I218" s="9">
        <v>520.0</v>
      </c>
      <c r="J218" s="10">
        <f t="shared" si="3"/>
        <v>15.72119463</v>
      </c>
      <c r="K218" s="8">
        <f t="shared" si="4"/>
        <v>0.6288477853</v>
      </c>
      <c r="L218" s="8">
        <f t="shared" si="5"/>
        <v>3.270008484</v>
      </c>
      <c r="M218" s="8">
        <f t="shared" si="6"/>
        <v>19.6200509</v>
      </c>
      <c r="N218" s="11"/>
    </row>
    <row r="219" ht="22.5" customHeight="1">
      <c r="A219" s="6" t="s">
        <v>23</v>
      </c>
      <c r="B219" s="6" t="s">
        <v>73</v>
      </c>
      <c r="C219" s="7" t="s">
        <v>43</v>
      </c>
      <c r="D219" s="6">
        <v>4.0</v>
      </c>
      <c r="E219" s="6">
        <v>67.0</v>
      </c>
      <c r="F219" s="8">
        <f t="shared" si="1"/>
        <v>21.32676237</v>
      </c>
      <c r="G219" s="8">
        <f t="shared" si="8"/>
        <v>30.16059659</v>
      </c>
      <c r="H219" s="6">
        <v>9.0</v>
      </c>
      <c r="I219" s="9">
        <v>630.0</v>
      </c>
      <c r="J219" s="10">
        <f t="shared" si="3"/>
        <v>29.87988137</v>
      </c>
      <c r="K219" s="8">
        <f t="shared" si="4"/>
        <v>1.195195255</v>
      </c>
      <c r="L219" s="8">
        <f t="shared" si="5"/>
        <v>6.215015324</v>
      </c>
      <c r="M219" s="8">
        <f t="shared" si="6"/>
        <v>37.29009195</v>
      </c>
      <c r="N219" s="11"/>
    </row>
    <row r="220" ht="22.5" customHeight="1">
      <c r="A220" s="6" t="s">
        <v>24</v>
      </c>
      <c r="B220" s="6" t="s">
        <v>67</v>
      </c>
      <c r="C220" s="7" t="s">
        <v>40</v>
      </c>
      <c r="D220" s="6">
        <v>1.0</v>
      </c>
      <c r="E220" s="6">
        <v>70.0</v>
      </c>
      <c r="F220" s="8">
        <f t="shared" si="1"/>
        <v>22.28169203</v>
      </c>
      <c r="G220" s="8">
        <f t="shared" si="8"/>
        <v>22.28169203</v>
      </c>
      <c r="H220" s="6">
        <v>14.0</v>
      </c>
      <c r="I220" s="9">
        <v>790.0</v>
      </c>
      <c r="J220" s="10">
        <f t="shared" si="3"/>
        <v>31.76251556</v>
      </c>
      <c r="K220" s="8">
        <f t="shared" si="4"/>
        <v>1.270500622</v>
      </c>
      <c r="L220" s="8">
        <f t="shared" si="5"/>
        <v>6.606603236</v>
      </c>
      <c r="M220" s="8">
        <f t="shared" si="6"/>
        <v>39.63961941</v>
      </c>
      <c r="N220" s="11"/>
    </row>
    <row r="221" ht="22.5" customHeight="1">
      <c r="A221" s="6" t="s">
        <v>24</v>
      </c>
      <c r="B221" s="6" t="s">
        <v>67</v>
      </c>
      <c r="C221" s="7" t="s">
        <v>40</v>
      </c>
      <c r="D221" s="6">
        <v>1.0</v>
      </c>
      <c r="E221" s="6">
        <v>70.0</v>
      </c>
      <c r="F221" s="8">
        <f t="shared" si="1"/>
        <v>22.28169203</v>
      </c>
      <c r="G221" s="8">
        <f t="shared" si="8"/>
        <v>22.28169203</v>
      </c>
      <c r="H221" s="6">
        <v>15.0</v>
      </c>
      <c r="I221" s="9">
        <v>790.0</v>
      </c>
      <c r="J221" s="10">
        <f t="shared" si="3"/>
        <v>33.97496334</v>
      </c>
      <c r="K221" s="8">
        <f t="shared" si="4"/>
        <v>1.358998534</v>
      </c>
      <c r="L221" s="8">
        <f t="shared" si="5"/>
        <v>7.066792374</v>
      </c>
      <c r="M221" s="8">
        <f t="shared" si="6"/>
        <v>42.40075425</v>
      </c>
      <c r="N221" s="11"/>
    </row>
    <row r="222" ht="22.5" customHeight="1">
      <c r="A222" s="6" t="s">
        <v>24</v>
      </c>
      <c r="B222" s="6" t="s">
        <v>77</v>
      </c>
      <c r="C222" s="7" t="s">
        <v>43</v>
      </c>
      <c r="D222" s="6">
        <v>2.0</v>
      </c>
      <c r="E222" s="6">
        <v>80.0</v>
      </c>
      <c r="F222" s="8">
        <f t="shared" si="1"/>
        <v>25.46479089</v>
      </c>
      <c r="G222" s="8">
        <f t="shared" si="8"/>
        <v>30.28291051</v>
      </c>
      <c r="H222" s="6">
        <v>9.0</v>
      </c>
      <c r="I222" s="9">
        <v>630.0</v>
      </c>
      <c r="J222" s="10">
        <f t="shared" si="3"/>
        <v>30.11687252</v>
      </c>
      <c r="K222" s="8">
        <f t="shared" si="4"/>
        <v>1.204674901</v>
      </c>
      <c r="L222" s="8">
        <f t="shared" si="5"/>
        <v>6.264309485</v>
      </c>
      <c r="M222" s="8">
        <f t="shared" si="6"/>
        <v>37.58585691</v>
      </c>
      <c r="N222" s="11"/>
    </row>
    <row r="223" ht="22.5" customHeight="1">
      <c r="A223" s="6" t="s">
        <v>19</v>
      </c>
      <c r="B223" s="6" t="s">
        <v>78</v>
      </c>
      <c r="C223" s="7" t="s">
        <v>46</v>
      </c>
      <c r="D223" s="6">
        <v>1.0</v>
      </c>
      <c r="E223" s="6">
        <v>80.0</v>
      </c>
      <c r="F223" s="8">
        <f t="shared" si="1"/>
        <v>25.46479089</v>
      </c>
      <c r="G223" s="8">
        <f t="shared" si="8"/>
        <v>25.46479089</v>
      </c>
      <c r="H223" s="6">
        <v>14.0</v>
      </c>
      <c r="I223" s="9">
        <v>440.0</v>
      </c>
      <c r="J223" s="10">
        <f t="shared" si="3"/>
        <v>23.28310745</v>
      </c>
      <c r="K223" s="8">
        <f t="shared" si="4"/>
        <v>0.931324298</v>
      </c>
      <c r="L223" s="8">
        <f t="shared" si="5"/>
        <v>4.84288635</v>
      </c>
      <c r="M223" s="8">
        <f t="shared" si="6"/>
        <v>29.0573181</v>
      </c>
      <c r="N223" s="11"/>
    </row>
    <row r="224" ht="22.5" customHeight="1">
      <c r="A224" s="6" t="s">
        <v>27</v>
      </c>
      <c r="B224" s="6" t="s">
        <v>70</v>
      </c>
      <c r="C224" s="7" t="s">
        <v>49</v>
      </c>
      <c r="D224" s="6">
        <v>1.0</v>
      </c>
      <c r="E224" s="6">
        <v>80.0</v>
      </c>
      <c r="F224" s="8">
        <f t="shared" si="1"/>
        <v>25.46479089</v>
      </c>
      <c r="G224" s="8">
        <f t="shared" si="8"/>
        <v>25.46479089</v>
      </c>
      <c r="H224" s="6">
        <v>12.0</v>
      </c>
      <c r="I224" s="9">
        <v>560.0</v>
      </c>
      <c r="J224" s="10">
        <f t="shared" si="3"/>
        <v>25.34676731</v>
      </c>
      <c r="K224" s="8">
        <f t="shared" si="4"/>
        <v>1.013870692</v>
      </c>
      <c r="L224" s="8">
        <f t="shared" si="5"/>
        <v>5.2721276</v>
      </c>
      <c r="M224" s="8">
        <f t="shared" si="6"/>
        <v>31.6327656</v>
      </c>
      <c r="N224" s="11"/>
    </row>
    <row r="225" ht="22.5" customHeight="1">
      <c r="A225" s="6" t="s">
        <v>19</v>
      </c>
      <c r="B225" s="6" t="s">
        <v>57</v>
      </c>
      <c r="C225" s="7" t="s">
        <v>51</v>
      </c>
      <c r="D225" s="6">
        <v>1.0</v>
      </c>
      <c r="E225" s="6">
        <v>85.0</v>
      </c>
      <c r="F225" s="8">
        <f t="shared" si="1"/>
        <v>27.05634033</v>
      </c>
      <c r="G225" s="8">
        <f t="shared" si="8"/>
        <v>27.05634033</v>
      </c>
      <c r="H225" s="6">
        <v>11.0</v>
      </c>
      <c r="I225" s="9">
        <v>560.0</v>
      </c>
      <c r="J225" s="10">
        <f t="shared" si="3"/>
        <v>26.20806944</v>
      </c>
      <c r="K225" s="8">
        <f t="shared" si="4"/>
        <v>1.048322778</v>
      </c>
      <c r="L225" s="8">
        <f t="shared" si="5"/>
        <v>5.451278444</v>
      </c>
      <c r="M225" s="8">
        <f t="shared" si="6"/>
        <v>32.70767066</v>
      </c>
      <c r="N225" s="11"/>
    </row>
    <row r="226" ht="22.5" customHeight="1">
      <c r="A226" s="6" t="s">
        <v>27</v>
      </c>
      <c r="B226" s="6" t="s">
        <v>58</v>
      </c>
      <c r="C226" s="7" t="s">
        <v>54</v>
      </c>
      <c r="D226" s="6">
        <v>2.0</v>
      </c>
      <c r="E226" s="6">
        <v>86.0</v>
      </c>
      <c r="F226" s="8">
        <f t="shared" si="1"/>
        <v>27.37465021</v>
      </c>
      <c r="G226" s="8">
        <f t="shared" si="8"/>
        <v>32.5541288</v>
      </c>
      <c r="H226" s="6">
        <v>12.0</v>
      </c>
      <c r="I226" s="9">
        <v>550.0</v>
      </c>
      <c r="J226" s="10">
        <f t="shared" si="3"/>
        <v>40.22508852</v>
      </c>
      <c r="K226" s="8">
        <f t="shared" si="4"/>
        <v>1.609003541</v>
      </c>
      <c r="L226" s="8">
        <f t="shared" si="5"/>
        <v>8.366818413</v>
      </c>
      <c r="M226" s="8">
        <f t="shared" si="6"/>
        <v>50.20091048</v>
      </c>
      <c r="N226" s="11"/>
    </row>
    <row r="227" ht="22.5" customHeight="1">
      <c r="A227" s="6" t="s">
        <v>19</v>
      </c>
      <c r="B227" s="6" t="s">
        <v>67</v>
      </c>
      <c r="C227" s="7" t="s">
        <v>40</v>
      </c>
      <c r="D227" s="6">
        <v>1.0</v>
      </c>
      <c r="E227" s="6">
        <v>110.0</v>
      </c>
      <c r="F227" s="8">
        <f t="shared" si="1"/>
        <v>35.01408748</v>
      </c>
      <c r="G227" s="8">
        <f t="shared" si="8"/>
        <v>35.01408748</v>
      </c>
      <c r="H227" s="6">
        <v>12.0</v>
      </c>
      <c r="I227" s="9">
        <v>790.0</v>
      </c>
      <c r="J227" s="10">
        <f t="shared" si="3"/>
        <v>66.03010249</v>
      </c>
      <c r="K227" s="8">
        <f t="shared" si="4"/>
        <v>2.6412041</v>
      </c>
      <c r="L227" s="8">
        <f t="shared" si="5"/>
        <v>13.73426132</v>
      </c>
      <c r="M227" s="8">
        <f t="shared" si="6"/>
        <v>82.40556791</v>
      </c>
      <c r="N227" s="11"/>
    </row>
    <row r="228" ht="22.5" customHeight="1">
      <c r="A228" s="6" t="s">
        <v>19</v>
      </c>
      <c r="B228" s="6" t="s">
        <v>79</v>
      </c>
      <c r="C228" s="7" t="s">
        <v>46</v>
      </c>
      <c r="D228" s="6">
        <v>6.0</v>
      </c>
      <c r="E228" s="6">
        <v>110.0</v>
      </c>
      <c r="F228" s="8">
        <f t="shared" si="1"/>
        <v>35.01408748</v>
      </c>
      <c r="G228" s="8">
        <f t="shared" si="8"/>
        <v>54.8000084</v>
      </c>
      <c r="H228" s="6">
        <v>16.0</v>
      </c>
      <c r="I228" s="9">
        <v>440.0</v>
      </c>
      <c r="J228" s="10">
        <f t="shared" si="3"/>
        <v>118.3983799</v>
      </c>
      <c r="K228" s="8">
        <f t="shared" si="4"/>
        <v>4.735935195</v>
      </c>
      <c r="L228" s="8">
        <f t="shared" si="5"/>
        <v>24.62686301</v>
      </c>
      <c r="M228" s="8">
        <f t="shared" si="6"/>
        <v>147.7611781</v>
      </c>
      <c r="N228" s="11"/>
    </row>
    <row r="229" ht="22.5" customHeight="1">
      <c r="A229" s="6" t="s">
        <v>19</v>
      </c>
      <c r="B229" s="6" t="s">
        <v>79</v>
      </c>
      <c r="C229" s="7" t="s">
        <v>46</v>
      </c>
      <c r="D229" s="6">
        <v>6.0</v>
      </c>
      <c r="E229" s="6">
        <v>150.0</v>
      </c>
      <c r="F229" s="8">
        <f t="shared" si="1"/>
        <v>47.74648293</v>
      </c>
      <c r="G229" s="8">
        <f t="shared" si="8"/>
        <v>74.72728418</v>
      </c>
      <c r="H229" s="6">
        <v>12.0</v>
      </c>
      <c r="I229" s="9">
        <v>440.0</v>
      </c>
      <c r="J229" s="10">
        <f t="shared" si="3"/>
        <v>163.8087774</v>
      </c>
      <c r="K229" s="8">
        <f t="shared" si="4"/>
        <v>6.552351097</v>
      </c>
      <c r="L229" s="8">
        <f t="shared" si="5"/>
        <v>34.0722257</v>
      </c>
      <c r="M229" s="8">
        <f t="shared" si="6"/>
        <v>204.4333542</v>
      </c>
      <c r="N229" s="11"/>
    </row>
    <row r="230" ht="22.5" customHeight="1">
      <c r="A230" s="6"/>
      <c r="B230" s="6"/>
      <c r="C230" s="6"/>
      <c r="D230" s="6"/>
      <c r="E230" s="6"/>
      <c r="F230" s="6"/>
      <c r="G230" s="6"/>
      <c r="H230" s="6"/>
      <c r="I230" s="6"/>
      <c r="J230" s="8">
        <f>SUM(Table1[AGB  Stem])</f>
        <v>1735.991378</v>
      </c>
      <c r="K230" s="8">
        <f>SUM(Table1[AGB Foliage Biomass])</f>
        <v>69.43965511</v>
      </c>
      <c r="L230" s="8">
        <f>SUM(Table1[BGB (in Kg)])</f>
        <v>361.0862066</v>
      </c>
      <c r="M230" s="8">
        <f>SUM(Table1[TB (in Kg)])</f>
        <v>2166.51724</v>
      </c>
      <c r="N230" s="11"/>
    </row>
    <row r="231">
      <c r="C231" s="11"/>
      <c r="F231" s="15"/>
      <c r="G231" s="15"/>
      <c r="H231" s="16"/>
      <c r="J231" s="17"/>
      <c r="K231" s="17"/>
      <c r="L231" s="16"/>
      <c r="N231" s="11"/>
    </row>
    <row r="232">
      <c r="C232" s="11"/>
      <c r="F232" s="15"/>
      <c r="G232" s="15"/>
      <c r="H232" s="16"/>
      <c r="J232" s="17"/>
      <c r="K232" s="17"/>
      <c r="L232" s="16"/>
      <c r="N232" s="11"/>
    </row>
    <row r="233">
      <c r="C233" s="11"/>
      <c r="F233" s="15"/>
      <c r="G233" s="15"/>
      <c r="H233" s="16"/>
      <c r="J233" s="17"/>
      <c r="K233" s="17"/>
      <c r="L233" s="16"/>
      <c r="N233" s="11"/>
    </row>
    <row r="234">
      <c r="C234" s="11"/>
      <c r="F234" s="15"/>
      <c r="G234" s="15"/>
      <c r="H234" s="16"/>
      <c r="J234" s="17"/>
      <c r="K234" s="17"/>
      <c r="L234" s="16"/>
      <c r="N234" s="11"/>
      <c r="O234" s="11"/>
    </row>
    <row r="235">
      <c r="C235" s="11"/>
      <c r="F235" s="15"/>
      <c r="G235" s="15"/>
      <c r="H235" s="16"/>
      <c r="J235" s="17"/>
      <c r="K235" s="17"/>
      <c r="L235" s="16"/>
      <c r="N235" s="11"/>
      <c r="O235" s="11"/>
    </row>
    <row r="236">
      <c r="C236" s="11"/>
      <c r="F236" s="15"/>
      <c r="G236" s="15"/>
      <c r="H236" s="16"/>
      <c r="J236" s="17"/>
      <c r="K236" s="17"/>
      <c r="L236" s="16"/>
      <c r="N236" s="11"/>
      <c r="O236" s="11"/>
    </row>
    <row r="237">
      <c r="C237" s="11"/>
      <c r="F237" s="15"/>
      <c r="G237" s="15"/>
      <c r="H237" s="16"/>
      <c r="J237" s="17"/>
      <c r="K237" s="17"/>
      <c r="L237" s="16"/>
      <c r="N237" s="11"/>
      <c r="O237" s="11"/>
    </row>
    <row r="238">
      <c r="C238" s="11"/>
      <c r="F238" s="15"/>
      <c r="G238" s="15"/>
      <c r="H238" s="16"/>
      <c r="J238" s="17"/>
      <c r="K238" s="17"/>
      <c r="L238" s="16"/>
      <c r="N238" s="11"/>
      <c r="O238" s="11"/>
    </row>
    <row r="239">
      <c r="C239" s="11"/>
      <c r="F239" s="15"/>
      <c r="G239" s="15"/>
      <c r="H239" s="16"/>
      <c r="J239" s="17"/>
      <c r="K239" s="17"/>
      <c r="L239" s="16"/>
      <c r="N239" s="11"/>
      <c r="O239" s="11"/>
    </row>
    <row r="240">
      <c r="C240" s="11"/>
      <c r="F240" s="15"/>
      <c r="G240" s="15"/>
      <c r="H240" s="16"/>
      <c r="J240" s="17"/>
      <c r="K240" s="17"/>
      <c r="L240" s="16"/>
      <c r="N240" s="11"/>
      <c r="O240" s="11"/>
    </row>
    <row r="241">
      <c r="C241" s="11"/>
      <c r="F241" s="15"/>
      <c r="G241" s="15"/>
      <c r="H241" s="16"/>
      <c r="J241" s="17"/>
      <c r="K241" s="17"/>
      <c r="L241" s="16"/>
      <c r="N241" s="11"/>
      <c r="O241" s="11"/>
    </row>
    <row r="242">
      <c r="C242" s="11"/>
      <c r="F242" s="15"/>
      <c r="G242" s="15"/>
      <c r="H242" s="16"/>
      <c r="J242" s="17"/>
      <c r="K242" s="17"/>
      <c r="L242" s="16"/>
      <c r="N242" s="11"/>
      <c r="O242" s="11"/>
    </row>
    <row r="243">
      <c r="C243" s="11"/>
      <c r="F243" s="15"/>
      <c r="G243" s="15"/>
      <c r="H243" s="16"/>
      <c r="J243" s="17"/>
      <c r="K243" s="17"/>
      <c r="L243" s="16"/>
      <c r="N243" s="11"/>
      <c r="O243" s="11"/>
    </row>
    <row r="244">
      <c r="C244" s="11"/>
      <c r="F244" s="15"/>
      <c r="G244" s="15"/>
      <c r="H244" s="16"/>
      <c r="J244" s="17"/>
      <c r="K244" s="17"/>
      <c r="L244" s="16"/>
      <c r="N244" s="11"/>
      <c r="O244" s="11"/>
    </row>
    <row r="245">
      <c r="C245" s="11"/>
      <c r="F245" s="15"/>
      <c r="G245" s="15"/>
      <c r="H245" s="16"/>
      <c r="J245" s="17"/>
      <c r="K245" s="17"/>
      <c r="L245" s="16"/>
      <c r="N245" s="11"/>
      <c r="O245" s="11"/>
    </row>
    <row r="246">
      <c r="C246" s="11"/>
      <c r="F246" s="15"/>
      <c r="G246" s="15"/>
      <c r="H246" s="16"/>
      <c r="J246" s="17"/>
      <c r="K246" s="17"/>
      <c r="L246" s="16"/>
      <c r="N246" s="11"/>
      <c r="O246" s="11"/>
    </row>
    <row r="247">
      <c r="C247" s="11"/>
      <c r="F247" s="15"/>
      <c r="G247" s="15"/>
      <c r="H247" s="16"/>
      <c r="J247" s="17"/>
      <c r="K247" s="17"/>
      <c r="L247" s="16"/>
      <c r="N247" s="11"/>
      <c r="O247" s="11"/>
    </row>
    <row r="248">
      <c r="C248" s="11"/>
      <c r="F248" s="15"/>
      <c r="G248" s="15"/>
      <c r="H248" s="16"/>
      <c r="J248" s="17"/>
      <c r="K248" s="17"/>
      <c r="L248" s="16"/>
      <c r="N248" s="11"/>
      <c r="O248" s="11"/>
    </row>
    <row r="249">
      <c r="C249" s="11"/>
      <c r="F249" s="15"/>
      <c r="G249" s="15"/>
      <c r="H249" s="16"/>
      <c r="J249" s="17"/>
      <c r="K249" s="17"/>
      <c r="L249" s="16"/>
      <c r="N249" s="11"/>
      <c r="O249" s="11"/>
    </row>
    <row r="250">
      <c r="C250" s="11"/>
      <c r="F250" s="15"/>
      <c r="G250" s="15"/>
      <c r="H250" s="16"/>
      <c r="J250" s="17"/>
      <c r="K250" s="17"/>
      <c r="L250" s="16"/>
      <c r="N250" s="11"/>
      <c r="O250" s="11"/>
    </row>
    <row r="251">
      <c r="C251" s="11"/>
      <c r="F251" s="15"/>
      <c r="G251" s="15"/>
      <c r="H251" s="16"/>
      <c r="J251" s="17"/>
      <c r="K251" s="17"/>
      <c r="L251" s="16"/>
      <c r="N251" s="11"/>
      <c r="O251" s="11"/>
    </row>
    <row r="252">
      <c r="C252" s="11"/>
      <c r="F252" s="15"/>
      <c r="G252" s="15"/>
      <c r="H252" s="16"/>
      <c r="J252" s="17"/>
      <c r="K252" s="17"/>
      <c r="L252" s="16"/>
      <c r="N252" s="11"/>
      <c r="O252" s="11"/>
    </row>
    <row r="253">
      <c r="C253" s="11"/>
      <c r="F253" s="15"/>
      <c r="G253" s="15"/>
      <c r="H253" s="16"/>
      <c r="J253" s="17"/>
      <c r="K253" s="17"/>
      <c r="L253" s="16"/>
      <c r="N253" s="11"/>
      <c r="O253" s="11"/>
    </row>
    <row r="254">
      <c r="C254" s="11"/>
      <c r="F254" s="15"/>
      <c r="G254" s="15"/>
      <c r="H254" s="16"/>
      <c r="J254" s="17"/>
      <c r="K254" s="17"/>
      <c r="L254" s="16"/>
      <c r="N254" s="11"/>
      <c r="O254" s="11"/>
    </row>
    <row r="255">
      <c r="C255" s="11"/>
      <c r="F255" s="15"/>
      <c r="G255" s="15"/>
      <c r="H255" s="16"/>
      <c r="J255" s="17"/>
      <c r="K255" s="17"/>
      <c r="L255" s="16"/>
      <c r="N255" s="11"/>
      <c r="O255" s="11"/>
    </row>
    <row r="256">
      <c r="C256" s="11"/>
      <c r="F256" s="15"/>
      <c r="G256" s="15"/>
      <c r="H256" s="16"/>
      <c r="J256" s="17"/>
      <c r="K256" s="17"/>
      <c r="L256" s="16"/>
      <c r="N256" s="11"/>
      <c r="O256" s="11"/>
    </row>
    <row r="257">
      <c r="C257" s="11"/>
      <c r="F257" s="15"/>
      <c r="G257" s="15"/>
      <c r="H257" s="16"/>
      <c r="J257" s="17"/>
      <c r="K257" s="17"/>
      <c r="L257" s="16"/>
      <c r="N257" s="11"/>
      <c r="O257" s="11"/>
    </row>
    <row r="258">
      <c r="C258" s="11"/>
      <c r="F258" s="15"/>
      <c r="G258" s="15"/>
      <c r="H258" s="16"/>
      <c r="J258" s="17"/>
      <c r="K258" s="17"/>
      <c r="L258" s="16"/>
      <c r="N258" s="11"/>
      <c r="O258" s="11"/>
    </row>
    <row r="259">
      <c r="C259" s="11"/>
      <c r="F259" s="15"/>
      <c r="G259" s="15"/>
      <c r="H259" s="16"/>
      <c r="J259" s="17"/>
      <c r="K259" s="17"/>
      <c r="L259" s="16"/>
      <c r="N259" s="11"/>
      <c r="O259" s="11"/>
    </row>
    <row r="260">
      <c r="C260" s="11"/>
      <c r="F260" s="15"/>
      <c r="G260" s="15"/>
      <c r="H260" s="16"/>
      <c r="J260" s="17"/>
      <c r="K260" s="17"/>
      <c r="L260" s="16"/>
      <c r="N260" s="11"/>
      <c r="O260" s="11"/>
    </row>
    <row r="261">
      <c r="C261" s="11"/>
      <c r="F261" s="15"/>
      <c r="G261" s="15"/>
      <c r="H261" s="16"/>
      <c r="J261" s="17"/>
      <c r="K261" s="17"/>
      <c r="L261" s="16"/>
      <c r="N261" s="11"/>
      <c r="O261" s="11"/>
    </row>
    <row r="262">
      <c r="C262" s="11"/>
      <c r="F262" s="15"/>
      <c r="G262" s="15"/>
      <c r="H262" s="16"/>
      <c r="J262" s="17"/>
      <c r="K262" s="17"/>
      <c r="L262" s="16"/>
      <c r="N262" s="11"/>
      <c r="O262" s="11"/>
    </row>
    <row r="263">
      <c r="C263" s="11"/>
      <c r="F263" s="15"/>
      <c r="G263" s="15"/>
      <c r="H263" s="16"/>
      <c r="J263" s="17"/>
      <c r="K263" s="17"/>
      <c r="L263" s="16"/>
      <c r="N263" s="11"/>
      <c r="O263" s="11"/>
    </row>
    <row r="264">
      <c r="C264" s="11"/>
      <c r="F264" s="15"/>
      <c r="G264" s="15"/>
      <c r="H264" s="16"/>
      <c r="J264" s="17"/>
      <c r="K264" s="17"/>
      <c r="L264" s="16"/>
      <c r="N264" s="11"/>
      <c r="O264" s="11"/>
    </row>
    <row r="265">
      <c r="C265" s="11"/>
      <c r="F265" s="15"/>
      <c r="G265" s="15"/>
      <c r="H265" s="16"/>
      <c r="J265" s="17"/>
      <c r="K265" s="17"/>
      <c r="L265" s="16"/>
      <c r="N265" s="11"/>
      <c r="O265" s="11"/>
    </row>
    <row r="266">
      <c r="C266" s="11"/>
      <c r="F266" s="15"/>
      <c r="G266" s="15"/>
      <c r="H266" s="16"/>
      <c r="J266" s="17"/>
      <c r="K266" s="17"/>
      <c r="L266" s="16"/>
      <c r="N266" s="11"/>
      <c r="O266" s="11"/>
    </row>
    <row r="267">
      <c r="C267" s="11"/>
      <c r="F267" s="15"/>
      <c r="G267" s="15"/>
      <c r="H267" s="16"/>
      <c r="J267" s="17"/>
      <c r="K267" s="17"/>
      <c r="L267" s="16"/>
      <c r="N267" s="11"/>
      <c r="O267" s="11"/>
    </row>
    <row r="268">
      <c r="C268" s="11"/>
      <c r="F268" s="15"/>
      <c r="G268" s="15"/>
      <c r="H268" s="16"/>
      <c r="J268" s="17"/>
      <c r="K268" s="17"/>
      <c r="L268" s="16"/>
      <c r="N268" s="11"/>
      <c r="O268" s="11"/>
    </row>
    <row r="269">
      <c r="C269" s="11"/>
      <c r="F269" s="15"/>
      <c r="G269" s="15"/>
      <c r="H269" s="16"/>
      <c r="J269" s="17"/>
      <c r="K269" s="17"/>
      <c r="L269" s="16"/>
      <c r="N269" s="11"/>
      <c r="O269" s="11"/>
    </row>
    <row r="270">
      <c r="C270" s="11"/>
      <c r="F270" s="15"/>
      <c r="G270" s="15"/>
      <c r="H270" s="16"/>
      <c r="J270" s="17"/>
      <c r="K270" s="17"/>
      <c r="L270" s="16"/>
      <c r="N270" s="11"/>
      <c r="O270" s="11"/>
    </row>
    <row r="271">
      <c r="C271" s="11"/>
      <c r="F271" s="15"/>
      <c r="G271" s="15"/>
      <c r="H271" s="16"/>
      <c r="J271" s="17"/>
      <c r="K271" s="17"/>
      <c r="L271" s="16"/>
      <c r="N271" s="11"/>
      <c r="O271" s="11"/>
    </row>
    <row r="272">
      <c r="C272" s="11"/>
      <c r="F272" s="15"/>
      <c r="G272" s="15"/>
      <c r="H272" s="16"/>
      <c r="J272" s="17"/>
      <c r="K272" s="17"/>
      <c r="L272" s="16"/>
      <c r="N272" s="11"/>
      <c r="O272" s="11"/>
    </row>
    <row r="273">
      <c r="C273" s="11"/>
      <c r="F273" s="15"/>
      <c r="G273" s="15"/>
      <c r="H273" s="16"/>
      <c r="J273" s="17"/>
      <c r="K273" s="17"/>
      <c r="L273" s="16"/>
      <c r="N273" s="11"/>
      <c r="O273" s="11"/>
    </row>
    <row r="274">
      <c r="C274" s="11"/>
      <c r="F274" s="15"/>
      <c r="G274" s="15"/>
      <c r="H274" s="16"/>
      <c r="J274" s="17"/>
      <c r="K274" s="17"/>
      <c r="L274" s="16"/>
      <c r="N274" s="11"/>
      <c r="O274" s="11"/>
    </row>
    <row r="275">
      <c r="C275" s="11"/>
      <c r="F275" s="15"/>
      <c r="G275" s="15"/>
      <c r="H275" s="16"/>
      <c r="J275" s="17"/>
      <c r="K275" s="17"/>
      <c r="L275" s="16"/>
      <c r="N275" s="11"/>
      <c r="O275" s="11"/>
    </row>
    <row r="276">
      <c r="C276" s="11"/>
      <c r="F276" s="15"/>
      <c r="G276" s="15"/>
      <c r="H276" s="16"/>
      <c r="J276" s="17"/>
      <c r="K276" s="17"/>
      <c r="L276" s="16"/>
      <c r="N276" s="11"/>
      <c r="O276" s="11"/>
    </row>
    <row r="277">
      <c r="C277" s="11"/>
      <c r="F277" s="15"/>
      <c r="G277" s="15"/>
      <c r="H277" s="16"/>
      <c r="J277" s="17"/>
      <c r="K277" s="17"/>
      <c r="L277" s="16"/>
      <c r="N277" s="11"/>
      <c r="O277" s="11"/>
    </row>
    <row r="278">
      <c r="C278" s="11"/>
      <c r="F278" s="15"/>
      <c r="G278" s="15"/>
      <c r="H278" s="16"/>
      <c r="J278" s="17"/>
      <c r="K278" s="17"/>
      <c r="L278" s="16"/>
      <c r="N278" s="11"/>
      <c r="O278" s="11"/>
    </row>
    <row r="279">
      <c r="C279" s="11"/>
      <c r="F279" s="15"/>
      <c r="G279" s="15"/>
      <c r="H279" s="16"/>
      <c r="J279" s="17"/>
      <c r="K279" s="17"/>
      <c r="L279" s="16"/>
      <c r="N279" s="11"/>
      <c r="O279" s="11"/>
    </row>
    <row r="280">
      <c r="C280" s="11"/>
      <c r="F280" s="15"/>
      <c r="G280" s="15"/>
      <c r="H280" s="16"/>
      <c r="J280" s="17"/>
      <c r="K280" s="17"/>
      <c r="L280" s="16"/>
      <c r="N280" s="11"/>
      <c r="O280" s="11"/>
    </row>
    <row r="281">
      <c r="C281" s="11"/>
      <c r="F281" s="15"/>
      <c r="G281" s="15"/>
      <c r="H281" s="16"/>
      <c r="J281" s="17"/>
      <c r="K281" s="17"/>
      <c r="L281" s="16"/>
      <c r="N281" s="11"/>
      <c r="O281" s="11"/>
    </row>
    <row r="282">
      <c r="C282" s="11"/>
      <c r="F282" s="15"/>
      <c r="G282" s="15"/>
      <c r="H282" s="16"/>
      <c r="J282" s="17"/>
      <c r="K282" s="17"/>
      <c r="L282" s="16"/>
      <c r="N282" s="11"/>
      <c r="O282" s="11"/>
    </row>
    <row r="283">
      <c r="C283" s="11"/>
      <c r="F283" s="15"/>
      <c r="G283" s="15"/>
      <c r="H283" s="16"/>
      <c r="J283" s="17"/>
      <c r="K283" s="17"/>
      <c r="L283" s="16"/>
      <c r="N283" s="11"/>
      <c r="O283" s="11"/>
    </row>
    <row r="284">
      <c r="C284" s="11"/>
      <c r="F284" s="15"/>
      <c r="G284" s="15"/>
      <c r="H284" s="16"/>
      <c r="J284" s="17"/>
      <c r="K284" s="17"/>
      <c r="L284" s="16"/>
      <c r="N284" s="11"/>
      <c r="O284" s="11"/>
    </row>
    <row r="285">
      <c r="C285" s="11"/>
      <c r="F285" s="15"/>
      <c r="G285" s="15"/>
      <c r="H285" s="16"/>
      <c r="J285" s="17"/>
      <c r="K285" s="17"/>
      <c r="L285" s="16"/>
      <c r="N285" s="11"/>
      <c r="O285" s="11"/>
    </row>
    <row r="286">
      <c r="C286" s="11"/>
      <c r="F286" s="15"/>
      <c r="G286" s="15"/>
      <c r="H286" s="16"/>
      <c r="J286" s="17"/>
      <c r="K286" s="17"/>
      <c r="L286" s="16"/>
      <c r="N286" s="11"/>
      <c r="O286" s="11"/>
    </row>
    <row r="287">
      <c r="C287" s="11"/>
      <c r="F287" s="15"/>
      <c r="G287" s="15"/>
      <c r="H287" s="16"/>
      <c r="J287" s="17"/>
      <c r="K287" s="17"/>
      <c r="L287" s="16"/>
      <c r="N287" s="11"/>
      <c r="O287" s="11"/>
    </row>
    <row r="288">
      <c r="C288" s="11"/>
      <c r="F288" s="15"/>
      <c r="G288" s="15"/>
      <c r="H288" s="16"/>
      <c r="J288" s="17"/>
      <c r="K288" s="17"/>
      <c r="L288" s="16"/>
      <c r="N288" s="11"/>
      <c r="O288" s="11"/>
    </row>
    <row r="289">
      <c r="C289" s="11"/>
      <c r="F289" s="15"/>
      <c r="G289" s="15"/>
      <c r="H289" s="16"/>
      <c r="J289" s="17"/>
      <c r="K289" s="17"/>
      <c r="L289" s="16"/>
      <c r="N289" s="11"/>
      <c r="O289" s="11"/>
    </row>
    <row r="290">
      <c r="C290" s="11"/>
      <c r="F290" s="15"/>
      <c r="G290" s="15"/>
      <c r="H290" s="16"/>
      <c r="J290" s="17"/>
      <c r="K290" s="17"/>
      <c r="L290" s="16"/>
      <c r="N290" s="11"/>
      <c r="O290" s="11"/>
    </row>
    <row r="291">
      <c r="C291" s="11"/>
      <c r="F291" s="15"/>
      <c r="G291" s="15"/>
      <c r="H291" s="16"/>
      <c r="J291" s="17"/>
      <c r="K291" s="17"/>
      <c r="L291" s="16"/>
      <c r="N291" s="11"/>
      <c r="O291" s="11"/>
    </row>
    <row r="292">
      <c r="C292" s="11"/>
      <c r="F292" s="15"/>
      <c r="G292" s="15"/>
      <c r="H292" s="16"/>
      <c r="J292" s="17"/>
      <c r="K292" s="17"/>
      <c r="L292" s="16"/>
      <c r="N292" s="11"/>
      <c r="O292" s="11"/>
    </row>
    <row r="293">
      <c r="C293" s="11"/>
      <c r="F293" s="15"/>
      <c r="G293" s="15"/>
      <c r="H293" s="16"/>
      <c r="J293" s="17"/>
      <c r="K293" s="17"/>
      <c r="L293" s="16"/>
      <c r="N293" s="11"/>
      <c r="O293" s="11"/>
    </row>
    <row r="294">
      <c r="C294" s="11"/>
      <c r="F294" s="15"/>
      <c r="G294" s="15"/>
      <c r="H294" s="16"/>
      <c r="J294" s="17"/>
      <c r="K294" s="17"/>
      <c r="L294" s="16"/>
      <c r="N294" s="11"/>
      <c r="O294" s="11"/>
    </row>
    <row r="295">
      <c r="C295" s="11"/>
      <c r="F295" s="15"/>
      <c r="G295" s="15"/>
      <c r="H295" s="16"/>
      <c r="J295" s="17"/>
      <c r="K295" s="17"/>
      <c r="L295" s="16"/>
      <c r="N295" s="11"/>
      <c r="O295" s="11"/>
    </row>
    <row r="296">
      <c r="C296" s="11"/>
      <c r="F296" s="15"/>
      <c r="G296" s="15"/>
      <c r="H296" s="16"/>
      <c r="J296" s="17"/>
      <c r="K296" s="17"/>
      <c r="L296" s="16"/>
      <c r="N296" s="11"/>
      <c r="O296" s="11"/>
    </row>
    <row r="297">
      <c r="C297" s="11"/>
      <c r="F297" s="15"/>
      <c r="G297" s="15"/>
      <c r="H297" s="16"/>
      <c r="J297" s="17"/>
      <c r="K297" s="17"/>
      <c r="L297" s="16"/>
      <c r="N297" s="11"/>
      <c r="O297" s="11"/>
    </row>
    <row r="298">
      <c r="C298" s="11"/>
      <c r="F298" s="15"/>
      <c r="G298" s="15"/>
      <c r="H298" s="16"/>
      <c r="J298" s="17"/>
      <c r="K298" s="17"/>
      <c r="L298" s="16"/>
      <c r="N298" s="11"/>
      <c r="O298" s="11"/>
    </row>
    <row r="299">
      <c r="C299" s="11"/>
      <c r="F299" s="15"/>
      <c r="G299" s="15"/>
      <c r="H299" s="16"/>
      <c r="J299" s="17"/>
      <c r="K299" s="17"/>
      <c r="L299" s="16"/>
      <c r="N299" s="11"/>
      <c r="O299" s="11"/>
    </row>
    <row r="300">
      <c r="C300" s="11"/>
      <c r="F300" s="15"/>
      <c r="G300" s="15"/>
      <c r="H300" s="16"/>
      <c r="J300" s="17"/>
      <c r="K300" s="17"/>
      <c r="L300" s="16"/>
      <c r="N300" s="11"/>
      <c r="O300" s="11"/>
    </row>
    <row r="301">
      <c r="C301" s="11"/>
      <c r="F301" s="15"/>
      <c r="G301" s="15"/>
      <c r="H301" s="16"/>
      <c r="J301" s="17"/>
      <c r="K301" s="17"/>
      <c r="L301" s="16"/>
      <c r="N301" s="11"/>
      <c r="O301" s="11"/>
    </row>
    <row r="302">
      <c r="C302" s="11"/>
      <c r="F302" s="15"/>
      <c r="G302" s="15"/>
      <c r="H302" s="16"/>
      <c r="J302" s="17"/>
      <c r="K302" s="17"/>
      <c r="L302" s="16"/>
      <c r="N302" s="11"/>
      <c r="O302" s="11"/>
    </row>
    <row r="303">
      <c r="C303" s="11"/>
      <c r="F303" s="15"/>
      <c r="G303" s="15"/>
      <c r="H303" s="16"/>
      <c r="J303" s="17"/>
      <c r="K303" s="17"/>
      <c r="L303" s="16"/>
      <c r="N303" s="11"/>
      <c r="O303" s="11"/>
    </row>
    <row r="304">
      <c r="C304" s="11"/>
      <c r="F304" s="15"/>
      <c r="G304" s="15"/>
      <c r="H304" s="16"/>
      <c r="J304" s="17"/>
      <c r="K304" s="17"/>
      <c r="L304" s="16"/>
      <c r="N304" s="11"/>
      <c r="O304" s="11"/>
    </row>
    <row r="305">
      <c r="C305" s="11"/>
      <c r="F305" s="15"/>
      <c r="G305" s="15"/>
      <c r="H305" s="16"/>
      <c r="J305" s="17"/>
      <c r="K305" s="17"/>
      <c r="L305" s="16"/>
      <c r="N305" s="11"/>
      <c r="O305" s="11"/>
    </row>
    <row r="306">
      <c r="C306" s="11"/>
      <c r="F306" s="15"/>
      <c r="G306" s="15"/>
      <c r="H306" s="16"/>
      <c r="J306" s="17"/>
      <c r="K306" s="17"/>
      <c r="L306" s="16"/>
      <c r="N306" s="11"/>
      <c r="O306" s="11"/>
    </row>
    <row r="307">
      <c r="C307" s="11"/>
      <c r="F307" s="15"/>
      <c r="G307" s="15"/>
      <c r="H307" s="16"/>
      <c r="J307" s="17"/>
      <c r="K307" s="17"/>
      <c r="L307" s="16"/>
      <c r="N307" s="11"/>
      <c r="O307" s="11"/>
    </row>
    <row r="308">
      <c r="C308" s="11"/>
      <c r="F308" s="15"/>
      <c r="G308" s="15"/>
      <c r="H308" s="16"/>
      <c r="J308" s="17"/>
      <c r="K308" s="17"/>
      <c r="L308" s="16"/>
      <c r="N308" s="11"/>
      <c r="O308" s="11"/>
    </row>
    <row r="309">
      <c r="C309" s="11"/>
      <c r="F309" s="15"/>
      <c r="G309" s="15"/>
      <c r="H309" s="16"/>
      <c r="J309" s="17"/>
      <c r="K309" s="17"/>
      <c r="L309" s="16"/>
      <c r="N309" s="11"/>
      <c r="O309" s="11"/>
    </row>
    <row r="310">
      <c r="C310" s="11"/>
      <c r="F310" s="15"/>
      <c r="G310" s="15"/>
      <c r="H310" s="16"/>
      <c r="J310" s="17"/>
      <c r="K310" s="17"/>
      <c r="L310" s="16"/>
      <c r="N310" s="11"/>
      <c r="O310" s="11"/>
    </row>
    <row r="311">
      <c r="C311" s="11"/>
      <c r="F311" s="15"/>
      <c r="G311" s="15"/>
      <c r="H311" s="16"/>
      <c r="J311" s="17"/>
      <c r="K311" s="17"/>
      <c r="L311" s="16"/>
      <c r="N311" s="11"/>
      <c r="O311" s="11"/>
    </row>
    <row r="312">
      <c r="C312" s="11"/>
      <c r="F312" s="15"/>
      <c r="G312" s="15"/>
      <c r="H312" s="16"/>
      <c r="J312" s="17"/>
      <c r="K312" s="17"/>
      <c r="L312" s="16"/>
      <c r="N312" s="11"/>
      <c r="O312" s="11"/>
    </row>
    <row r="313">
      <c r="C313" s="11"/>
      <c r="F313" s="15"/>
      <c r="G313" s="15"/>
      <c r="H313" s="16"/>
      <c r="J313" s="17"/>
      <c r="K313" s="17"/>
      <c r="L313" s="16"/>
      <c r="N313" s="11"/>
      <c r="O313" s="11"/>
    </row>
    <row r="314">
      <c r="C314" s="11"/>
      <c r="F314" s="15"/>
      <c r="G314" s="15"/>
      <c r="H314" s="16"/>
      <c r="J314" s="17"/>
      <c r="K314" s="17"/>
      <c r="L314" s="16"/>
      <c r="N314" s="11"/>
      <c r="O314" s="11"/>
    </row>
    <row r="315">
      <c r="C315" s="11"/>
      <c r="F315" s="15"/>
      <c r="G315" s="15"/>
      <c r="H315" s="16"/>
      <c r="J315" s="17"/>
      <c r="K315" s="17"/>
      <c r="L315" s="16"/>
      <c r="N315" s="11"/>
      <c r="O315" s="11"/>
    </row>
    <row r="316">
      <c r="C316" s="11"/>
      <c r="F316" s="15"/>
      <c r="G316" s="15"/>
      <c r="H316" s="16"/>
      <c r="J316" s="17"/>
      <c r="K316" s="17"/>
      <c r="L316" s="16"/>
      <c r="N316" s="11"/>
      <c r="O316" s="11"/>
    </row>
    <row r="317">
      <c r="C317" s="11"/>
      <c r="F317" s="15"/>
      <c r="G317" s="15"/>
      <c r="H317" s="16"/>
      <c r="J317" s="17"/>
      <c r="K317" s="17"/>
      <c r="L317" s="16"/>
      <c r="N317" s="11"/>
      <c r="O317" s="11"/>
    </row>
    <row r="318">
      <c r="C318" s="11"/>
      <c r="F318" s="15"/>
      <c r="G318" s="15"/>
      <c r="H318" s="16"/>
      <c r="J318" s="17"/>
      <c r="K318" s="17"/>
      <c r="L318" s="16"/>
      <c r="N318" s="11"/>
      <c r="O318" s="11"/>
    </row>
    <row r="319">
      <c r="C319" s="11"/>
      <c r="F319" s="15"/>
      <c r="G319" s="15"/>
      <c r="H319" s="16"/>
      <c r="J319" s="17"/>
      <c r="K319" s="17"/>
      <c r="L319" s="16"/>
      <c r="N319" s="11"/>
      <c r="O319" s="11"/>
    </row>
    <row r="320">
      <c r="C320" s="11"/>
      <c r="F320" s="15"/>
      <c r="G320" s="15"/>
      <c r="H320" s="16"/>
      <c r="J320" s="17"/>
      <c r="K320" s="17"/>
      <c r="L320" s="16"/>
      <c r="N320" s="11"/>
      <c r="O320" s="11"/>
    </row>
    <row r="321">
      <c r="C321" s="11"/>
      <c r="F321" s="15"/>
      <c r="G321" s="15"/>
      <c r="H321" s="16"/>
      <c r="J321" s="17"/>
      <c r="K321" s="17"/>
      <c r="L321" s="16"/>
      <c r="N321" s="11"/>
      <c r="O321" s="11"/>
    </row>
    <row r="322">
      <c r="C322" s="11"/>
      <c r="F322" s="15"/>
      <c r="G322" s="15"/>
      <c r="H322" s="16"/>
      <c r="J322" s="17"/>
      <c r="K322" s="17"/>
      <c r="L322" s="16"/>
      <c r="N322" s="11"/>
      <c r="O322" s="11"/>
    </row>
    <row r="323">
      <c r="C323" s="11"/>
      <c r="F323" s="15"/>
      <c r="G323" s="15"/>
      <c r="H323" s="16"/>
      <c r="J323" s="17"/>
      <c r="K323" s="17"/>
      <c r="L323" s="16"/>
      <c r="N323" s="11"/>
      <c r="O323" s="11"/>
    </row>
    <row r="324">
      <c r="C324" s="11"/>
      <c r="F324" s="15"/>
      <c r="G324" s="15"/>
      <c r="H324" s="16"/>
      <c r="J324" s="17"/>
      <c r="K324" s="17"/>
      <c r="L324" s="16"/>
      <c r="N324" s="11"/>
      <c r="O324" s="11"/>
    </row>
    <row r="325">
      <c r="C325" s="11"/>
      <c r="F325" s="15"/>
      <c r="G325" s="15"/>
      <c r="H325" s="16"/>
      <c r="J325" s="17"/>
      <c r="K325" s="17"/>
      <c r="L325" s="16"/>
      <c r="N325" s="11"/>
      <c r="O325" s="11"/>
    </row>
    <row r="326">
      <c r="C326" s="11"/>
      <c r="F326" s="15"/>
      <c r="G326" s="15"/>
      <c r="H326" s="16"/>
      <c r="J326" s="17"/>
      <c r="K326" s="17"/>
      <c r="L326" s="16"/>
      <c r="N326" s="11"/>
      <c r="O326" s="11"/>
    </row>
    <row r="327">
      <c r="C327" s="11"/>
      <c r="F327" s="15"/>
      <c r="G327" s="15"/>
      <c r="H327" s="16"/>
      <c r="J327" s="17"/>
      <c r="K327" s="17"/>
      <c r="L327" s="16"/>
      <c r="N327" s="11"/>
      <c r="O327" s="11"/>
    </row>
    <row r="328">
      <c r="C328" s="11"/>
      <c r="F328" s="15"/>
      <c r="G328" s="15"/>
      <c r="H328" s="16"/>
      <c r="J328" s="17"/>
      <c r="K328" s="17"/>
      <c r="L328" s="16"/>
      <c r="N328" s="11"/>
      <c r="O328" s="11"/>
    </row>
    <row r="329">
      <c r="C329" s="11"/>
      <c r="F329" s="15"/>
      <c r="G329" s="15"/>
      <c r="H329" s="16"/>
      <c r="J329" s="17"/>
      <c r="K329" s="17"/>
      <c r="L329" s="16"/>
      <c r="N329" s="11"/>
      <c r="O329" s="11"/>
    </row>
    <row r="330">
      <c r="C330" s="11"/>
      <c r="F330" s="15"/>
      <c r="G330" s="15"/>
      <c r="H330" s="16"/>
      <c r="J330" s="17"/>
      <c r="K330" s="17"/>
      <c r="L330" s="16"/>
      <c r="N330" s="11"/>
      <c r="O330" s="11"/>
    </row>
    <row r="331">
      <c r="C331" s="11"/>
      <c r="F331" s="15"/>
      <c r="G331" s="15"/>
      <c r="H331" s="16"/>
      <c r="J331" s="17"/>
      <c r="K331" s="17"/>
      <c r="L331" s="16"/>
      <c r="N331" s="11"/>
      <c r="O331" s="11"/>
    </row>
    <row r="332">
      <c r="C332" s="11"/>
      <c r="F332" s="15"/>
      <c r="G332" s="15"/>
      <c r="H332" s="16"/>
      <c r="J332" s="17"/>
      <c r="K332" s="17"/>
      <c r="L332" s="16"/>
      <c r="N332" s="11"/>
      <c r="O332" s="11"/>
    </row>
    <row r="333">
      <c r="C333" s="11"/>
      <c r="F333" s="15"/>
      <c r="G333" s="15"/>
      <c r="H333" s="16"/>
      <c r="J333" s="17"/>
      <c r="K333" s="17"/>
      <c r="L333" s="16"/>
      <c r="N333" s="11"/>
      <c r="O333" s="11"/>
    </row>
    <row r="334">
      <c r="C334" s="11"/>
      <c r="F334" s="15"/>
      <c r="G334" s="15"/>
      <c r="H334" s="16"/>
      <c r="J334" s="17"/>
      <c r="K334" s="17"/>
      <c r="L334" s="16"/>
      <c r="N334" s="11"/>
      <c r="O334" s="11"/>
    </row>
    <row r="335">
      <c r="C335" s="11"/>
      <c r="F335" s="15"/>
      <c r="G335" s="15"/>
      <c r="H335" s="16"/>
      <c r="J335" s="17"/>
      <c r="K335" s="17"/>
      <c r="L335" s="16"/>
      <c r="N335" s="11"/>
      <c r="O335" s="11"/>
    </row>
    <row r="336">
      <c r="C336" s="11"/>
      <c r="F336" s="15"/>
      <c r="G336" s="15"/>
      <c r="H336" s="16"/>
      <c r="J336" s="17"/>
      <c r="K336" s="17"/>
      <c r="L336" s="16"/>
      <c r="N336" s="11"/>
      <c r="O336" s="11"/>
    </row>
    <row r="337">
      <c r="C337" s="11"/>
      <c r="F337" s="15"/>
      <c r="G337" s="15"/>
      <c r="H337" s="16"/>
      <c r="J337" s="17"/>
      <c r="K337" s="17"/>
      <c r="L337" s="16"/>
      <c r="N337" s="11"/>
      <c r="O337" s="11"/>
    </row>
    <row r="338">
      <c r="C338" s="11"/>
      <c r="F338" s="15"/>
      <c r="G338" s="15"/>
      <c r="H338" s="16"/>
      <c r="J338" s="17"/>
      <c r="K338" s="17"/>
      <c r="L338" s="16"/>
      <c r="N338" s="11"/>
      <c r="O338" s="11"/>
    </row>
    <row r="339">
      <c r="C339" s="11"/>
      <c r="F339" s="15"/>
      <c r="G339" s="15"/>
      <c r="H339" s="16"/>
      <c r="J339" s="17"/>
      <c r="K339" s="17"/>
      <c r="L339" s="16"/>
      <c r="N339" s="11"/>
      <c r="O339" s="11"/>
    </row>
    <row r="340">
      <c r="C340" s="11"/>
      <c r="F340" s="15"/>
      <c r="G340" s="15"/>
      <c r="H340" s="16"/>
      <c r="J340" s="17"/>
      <c r="K340" s="17"/>
      <c r="L340" s="16"/>
      <c r="N340" s="11"/>
      <c r="O340" s="11"/>
    </row>
    <row r="341">
      <c r="C341" s="11"/>
      <c r="F341" s="15"/>
      <c r="G341" s="15"/>
      <c r="H341" s="16"/>
      <c r="J341" s="17"/>
      <c r="K341" s="17"/>
      <c r="L341" s="16"/>
      <c r="N341" s="11"/>
      <c r="O341" s="11"/>
    </row>
    <row r="342">
      <c r="C342" s="11"/>
      <c r="F342" s="15"/>
      <c r="G342" s="15"/>
      <c r="H342" s="16"/>
      <c r="J342" s="17"/>
      <c r="K342" s="17"/>
      <c r="L342" s="16"/>
      <c r="N342" s="11"/>
      <c r="O342" s="11"/>
    </row>
    <row r="343">
      <c r="C343" s="11"/>
      <c r="F343" s="15"/>
      <c r="G343" s="15"/>
      <c r="H343" s="16"/>
      <c r="J343" s="17"/>
      <c r="K343" s="17"/>
      <c r="L343" s="16"/>
      <c r="N343" s="11"/>
      <c r="O343" s="11"/>
    </row>
    <row r="344">
      <c r="C344" s="11"/>
      <c r="F344" s="15"/>
      <c r="G344" s="15"/>
      <c r="H344" s="16"/>
      <c r="J344" s="17"/>
      <c r="K344" s="17"/>
      <c r="L344" s="16"/>
      <c r="N344" s="11"/>
      <c r="O344" s="11"/>
    </row>
    <row r="345">
      <c r="C345" s="11"/>
      <c r="F345" s="15"/>
      <c r="G345" s="15"/>
      <c r="H345" s="16"/>
      <c r="J345" s="17"/>
      <c r="K345" s="17"/>
      <c r="L345" s="16"/>
      <c r="N345" s="11"/>
      <c r="O345" s="11"/>
    </row>
    <row r="346">
      <c r="C346" s="11"/>
      <c r="F346" s="15"/>
      <c r="G346" s="15"/>
      <c r="H346" s="16"/>
      <c r="J346" s="17"/>
      <c r="K346" s="17"/>
      <c r="L346" s="16"/>
      <c r="N346" s="11"/>
      <c r="O346" s="11"/>
    </row>
    <row r="347">
      <c r="C347" s="11"/>
      <c r="F347" s="15"/>
      <c r="G347" s="15"/>
      <c r="H347" s="16"/>
      <c r="J347" s="17"/>
      <c r="K347" s="17"/>
      <c r="L347" s="16"/>
      <c r="N347" s="11"/>
      <c r="O347" s="11"/>
    </row>
    <row r="348">
      <c r="C348" s="11"/>
      <c r="F348" s="15"/>
      <c r="G348" s="15"/>
      <c r="H348" s="16"/>
      <c r="J348" s="17"/>
      <c r="K348" s="17"/>
      <c r="L348" s="16"/>
      <c r="N348" s="11"/>
      <c r="O348" s="11"/>
    </row>
    <row r="349">
      <c r="C349" s="11"/>
      <c r="F349" s="15"/>
      <c r="G349" s="15"/>
      <c r="H349" s="16"/>
      <c r="J349" s="17"/>
      <c r="K349" s="17"/>
      <c r="L349" s="16"/>
      <c r="N349" s="11"/>
      <c r="O349" s="11"/>
    </row>
    <row r="350">
      <c r="C350" s="11"/>
      <c r="F350" s="15"/>
      <c r="G350" s="15"/>
      <c r="H350" s="16"/>
      <c r="J350" s="17"/>
      <c r="K350" s="17"/>
      <c r="L350" s="16"/>
      <c r="N350" s="11"/>
      <c r="O350" s="11"/>
    </row>
    <row r="351">
      <c r="C351" s="11"/>
      <c r="F351" s="15"/>
      <c r="G351" s="15"/>
      <c r="H351" s="16"/>
      <c r="J351" s="17"/>
      <c r="K351" s="17"/>
      <c r="L351" s="16"/>
      <c r="N351" s="11"/>
      <c r="O351" s="11"/>
    </row>
    <row r="352">
      <c r="C352" s="11"/>
      <c r="F352" s="15"/>
      <c r="G352" s="15"/>
      <c r="H352" s="16"/>
      <c r="J352" s="17"/>
      <c r="K352" s="17"/>
      <c r="L352" s="16"/>
      <c r="N352" s="11"/>
      <c r="O352" s="11"/>
    </row>
    <row r="353">
      <c r="C353" s="11"/>
      <c r="F353" s="15"/>
      <c r="G353" s="15"/>
      <c r="H353" s="16"/>
      <c r="J353" s="17"/>
      <c r="K353" s="17"/>
      <c r="L353" s="16"/>
      <c r="N353" s="11"/>
      <c r="O353" s="11"/>
    </row>
    <row r="354">
      <c r="C354" s="11"/>
      <c r="F354" s="15"/>
      <c r="G354" s="15"/>
      <c r="H354" s="16"/>
      <c r="J354" s="17"/>
      <c r="K354" s="17"/>
      <c r="L354" s="16"/>
      <c r="N354" s="11"/>
      <c r="O354" s="11"/>
    </row>
    <row r="355">
      <c r="C355" s="11"/>
      <c r="F355" s="15"/>
      <c r="G355" s="15"/>
      <c r="H355" s="16"/>
      <c r="J355" s="17"/>
      <c r="K355" s="17"/>
      <c r="L355" s="16"/>
      <c r="N355" s="11"/>
      <c r="O355" s="11"/>
    </row>
    <row r="356">
      <c r="C356" s="11"/>
      <c r="F356" s="15"/>
      <c r="G356" s="15"/>
      <c r="H356" s="16"/>
      <c r="J356" s="17"/>
      <c r="K356" s="17"/>
      <c r="L356" s="16"/>
      <c r="N356" s="11"/>
      <c r="O356" s="11"/>
    </row>
    <row r="357">
      <c r="C357" s="11"/>
      <c r="F357" s="15"/>
      <c r="G357" s="15"/>
      <c r="H357" s="16"/>
      <c r="J357" s="17"/>
      <c r="K357" s="17"/>
      <c r="L357" s="16"/>
      <c r="N357" s="11"/>
      <c r="O357" s="11"/>
    </row>
    <row r="358">
      <c r="C358" s="11"/>
      <c r="F358" s="15"/>
      <c r="G358" s="15"/>
      <c r="H358" s="16"/>
      <c r="J358" s="17"/>
      <c r="K358" s="17"/>
      <c r="L358" s="16"/>
      <c r="N358" s="11"/>
      <c r="O358" s="11"/>
    </row>
    <row r="359">
      <c r="C359" s="11"/>
      <c r="F359" s="15"/>
      <c r="G359" s="15"/>
      <c r="H359" s="16"/>
      <c r="J359" s="17"/>
      <c r="K359" s="17"/>
      <c r="L359" s="16"/>
      <c r="N359" s="11"/>
      <c r="O359" s="11"/>
    </row>
    <row r="360">
      <c r="C360" s="11"/>
      <c r="F360" s="15"/>
      <c r="G360" s="15"/>
      <c r="H360" s="16"/>
      <c r="J360" s="17"/>
      <c r="K360" s="17"/>
      <c r="L360" s="16"/>
      <c r="N360" s="11"/>
      <c r="O360" s="11"/>
    </row>
    <row r="361">
      <c r="C361" s="11"/>
      <c r="F361" s="15"/>
      <c r="G361" s="15"/>
      <c r="H361" s="16"/>
      <c r="J361" s="17"/>
      <c r="K361" s="17"/>
      <c r="L361" s="16"/>
      <c r="N361" s="11"/>
      <c r="O361" s="11"/>
    </row>
    <row r="362">
      <c r="C362" s="11"/>
      <c r="F362" s="15"/>
      <c r="G362" s="15"/>
      <c r="H362" s="16"/>
      <c r="J362" s="17"/>
      <c r="K362" s="17"/>
      <c r="L362" s="16"/>
      <c r="N362" s="11"/>
      <c r="O362" s="11"/>
    </row>
    <row r="363">
      <c r="C363" s="11"/>
      <c r="F363" s="15"/>
      <c r="G363" s="15"/>
      <c r="H363" s="16"/>
      <c r="J363" s="17"/>
      <c r="K363" s="17"/>
      <c r="L363" s="16"/>
      <c r="N363" s="11"/>
      <c r="O363" s="11"/>
    </row>
    <row r="364">
      <c r="C364" s="11"/>
      <c r="F364" s="15"/>
      <c r="G364" s="15"/>
      <c r="H364" s="16"/>
      <c r="J364" s="17"/>
      <c r="K364" s="17"/>
      <c r="L364" s="16"/>
      <c r="N364" s="11"/>
      <c r="O364" s="11"/>
    </row>
    <row r="365">
      <c r="C365" s="11"/>
      <c r="F365" s="15"/>
      <c r="G365" s="15"/>
      <c r="H365" s="16"/>
      <c r="J365" s="17"/>
      <c r="K365" s="17"/>
      <c r="L365" s="16"/>
      <c r="N365" s="11"/>
      <c r="O365" s="11"/>
    </row>
    <row r="366">
      <c r="C366" s="11"/>
      <c r="F366" s="15"/>
      <c r="G366" s="15"/>
      <c r="H366" s="16"/>
      <c r="J366" s="17"/>
      <c r="K366" s="17"/>
      <c r="L366" s="16"/>
      <c r="N366" s="11"/>
      <c r="O366" s="11"/>
    </row>
    <row r="367">
      <c r="C367" s="11"/>
      <c r="F367" s="15"/>
      <c r="G367" s="15"/>
      <c r="H367" s="16"/>
      <c r="J367" s="17"/>
      <c r="K367" s="17"/>
      <c r="L367" s="16"/>
      <c r="N367" s="11"/>
      <c r="O367" s="11"/>
    </row>
    <row r="368">
      <c r="C368" s="11"/>
      <c r="F368" s="15"/>
      <c r="G368" s="15"/>
      <c r="H368" s="16"/>
      <c r="J368" s="17"/>
      <c r="K368" s="17"/>
      <c r="L368" s="16"/>
      <c r="N368" s="11"/>
      <c r="O368" s="11"/>
    </row>
    <row r="369">
      <c r="C369" s="11"/>
      <c r="F369" s="15"/>
      <c r="G369" s="15"/>
      <c r="H369" s="16"/>
      <c r="J369" s="17"/>
      <c r="K369" s="17"/>
      <c r="L369" s="16"/>
      <c r="N369" s="11"/>
      <c r="O369" s="11"/>
    </row>
    <row r="370">
      <c r="C370" s="11"/>
      <c r="F370" s="15"/>
      <c r="G370" s="15"/>
      <c r="H370" s="16"/>
      <c r="J370" s="17"/>
      <c r="K370" s="17"/>
      <c r="L370" s="16"/>
      <c r="N370" s="11"/>
      <c r="O370" s="11"/>
    </row>
    <row r="371">
      <c r="C371" s="11"/>
      <c r="F371" s="15"/>
      <c r="G371" s="15"/>
      <c r="H371" s="16"/>
      <c r="J371" s="17"/>
      <c r="K371" s="17"/>
      <c r="L371" s="16"/>
      <c r="N371" s="11"/>
      <c r="O371" s="11"/>
    </row>
    <row r="372">
      <c r="C372" s="11"/>
      <c r="F372" s="15"/>
      <c r="G372" s="15"/>
      <c r="H372" s="16"/>
      <c r="J372" s="17"/>
      <c r="K372" s="17"/>
      <c r="L372" s="16"/>
      <c r="N372" s="11"/>
      <c r="O372" s="11"/>
    </row>
    <row r="373">
      <c r="C373" s="11"/>
      <c r="F373" s="15"/>
      <c r="G373" s="15"/>
      <c r="H373" s="16"/>
      <c r="J373" s="17"/>
      <c r="K373" s="17"/>
      <c r="L373" s="16"/>
      <c r="N373" s="11"/>
      <c r="O373" s="11"/>
    </row>
    <row r="374">
      <c r="C374" s="11"/>
      <c r="F374" s="15"/>
      <c r="G374" s="15"/>
      <c r="H374" s="16"/>
      <c r="J374" s="17"/>
      <c r="K374" s="17"/>
      <c r="L374" s="16"/>
      <c r="N374" s="11"/>
      <c r="O374" s="11"/>
    </row>
    <row r="375">
      <c r="C375" s="11"/>
      <c r="F375" s="15"/>
      <c r="G375" s="15"/>
      <c r="H375" s="16"/>
      <c r="J375" s="17"/>
      <c r="K375" s="17"/>
      <c r="L375" s="16"/>
      <c r="N375" s="11"/>
      <c r="O375" s="11"/>
    </row>
    <row r="376">
      <c r="C376" s="11"/>
      <c r="F376" s="15"/>
      <c r="G376" s="15"/>
      <c r="H376" s="16"/>
      <c r="J376" s="17"/>
      <c r="K376" s="17"/>
      <c r="L376" s="16"/>
      <c r="N376" s="11"/>
      <c r="O376" s="11"/>
    </row>
    <row r="377">
      <c r="C377" s="11"/>
      <c r="F377" s="15"/>
      <c r="G377" s="15"/>
      <c r="H377" s="16"/>
      <c r="J377" s="17"/>
      <c r="K377" s="17"/>
      <c r="L377" s="16"/>
      <c r="N377" s="11"/>
      <c r="O377" s="11"/>
    </row>
    <row r="378">
      <c r="C378" s="11"/>
      <c r="F378" s="15"/>
      <c r="G378" s="15"/>
      <c r="H378" s="16"/>
      <c r="J378" s="17"/>
      <c r="K378" s="17"/>
      <c r="L378" s="16"/>
      <c r="N378" s="11"/>
      <c r="O378" s="11"/>
    </row>
    <row r="379">
      <c r="C379" s="11"/>
      <c r="F379" s="15"/>
      <c r="G379" s="15"/>
      <c r="H379" s="16"/>
      <c r="J379" s="17"/>
      <c r="K379" s="17"/>
      <c r="L379" s="16"/>
      <c r="N379" s="11"/>
      <c r="O379" s="11"/>
    </row>
    <row r="380">
      <c r="C380" s="11"/>
      <c r="F380" s="15"/>
      <c r="G380" s="15"/>
      <c r="H380" s="16"/>
      <c r="J380" s="17"/>
      <c r="K380" s="17"/>
      <c r="L380" s="16"/>
      <c r="N380" s="11"/>
      <c r="O380" s="11"/>
    </row>
    <row r="381">
      <c r="C381" s="11"/>
      <c r="F381" s="15"/>
      <c r="G381" s="15"/>
      <c r="H381" s="16"/>
      <c r="J381" s="17"/>
      <c r="K381" s="17"/>
      <c r="L381" s="16"/>
      <c r="N381" s="11"/>
      <c r="O381" s="11"/>
    </row>
    <row r="382">
      <c r="C382" s="11"/>
      <c r="F382" s="15"/>
      <c r="G382" s="15"/>
      <c r="H382" s="16"/>
      <c r="J382" s="17"/>
      <c r="K382" s="17"/>
      <c r="L382" s="16"/>
      <c r="N382" s="11"/>
      <c r="O382" s="11"/>
    </row>
    <row r="383">
      <c r="C383" s="11"/>
      <c r="F383" s="15"/>
      <c r="G383" s="15"/>
      <c r="H383" s="16"/>
      <c r="J383" s="17"/>
      <c r="K383" s="17"/>
      <c r="L383" s="16"/>
      <c r="N383" s="11"/>
      <c r="O383" s="11"/>
    </row>
    <row r="384">
      <c r="C384" s="11"/>
      <c r="F384" s="15"/>
      <c r="G384" s="15"/>
      <c r="H384" s="16"/>
      <c r="J384" s="17"/>
      <c r="K384" s="17"/>
      <c r="L384" s="16"/>
      <c r="N384" s="11"/>
      <c r="O384" s="11"/>
    </row>
    <row r="385">
      <c r="C385" s="11"/>
      <c r="F385" s="15"/>
      <c r="G385" s="15"/>
      <c r="H385" s="16"/>
      <c r="J385" s="17"/>
      <c r="K385" s="17"/>
      <c r="L385" s="16"/>
      <c r="N385" s="11"/>
      <c r="O385" s="11"/>
    </row>
    <row r="386">
      <c r="C386" s="11"/>
      <c r="F386" s="15"/>
      <c r="G386" s="15"/>
      <c r="H386" s="16"/>
      <c r="J386" s="17"/>
      <c r="K386" s="17"/>
      <c r="L386" s="16"/>
      <c r="N386" s="11"/>
      <c r="O386" s="11"/>
    </row>
    <row r="387">
      <c r="C387" s="11"/>
      <c r="F387" s="15"/>
      <c r="G387" s="15"/>
      <c r="H387" s="16"/>
      <c r="J387" s="17"/>
      <c r="K387" s="17"/>
      <c r="L387" s="16"/>
      <c r="N387" s="11"/>
      <c r="O387" s="11"/>
    </row>
    <row r="388">
      <c r="C388" s="11"/>
      <c r="F388" s="15"/>
      <c r="G388" s="15"/>
      <c r="H388" s="16"/>
      <c r="J388" s="17"/>
      <c r="K388" s="17"/>
      <c r="L388" s="16"/>
      <c r="N388" s="11"/>
      <c r="O388" s="11"/>
    </row>
    <row r="389">
      <c r="C389" s="11"/>
      <c r="F389" s="15"/>
      <c r="G389" s="15"/>
      <c r="H389" s="16"/>
      <c r="J389" s="17"/>
      <c r="K389" s="17"/>
      <c r="L389" s="16"/>
      <c r="N389" s="11"/>
      <c r="O389" s="11"/>
    </row>
    <row r="390">
      <c r="C390" s="11"/>
      <c r="F390" s="15"/>
      <c r="G390" s="15"/>
      <c r="H390" s="16"/>
      <c r="J390" s="17"/>
      <c r="K390" s="17"/>
      <c r="L390" s="16"/>
      <c r="N390" s="11"/>
      <c r="O390" s="11"/>
    </row>
    <row r="391">
      <c r="C391" s="11"/>
      <c r="F391" s="15"/>
      <c r="G391" s="15"/>
      <c r="H391" s="16"/>
      <c r="J391" s="17"/>
      <c r="K391" s="17"/>
      <c r="L391" s="16"/>
      <c r="N391" s="11"/>
      <c r="O391" s="11"/>
    </row>
    <row r="392">
      <c r="C392" s="11"/>
      <c r="F392" s="15"/>
      <c r="G392" s="15"/>
      <c r="H392" s="16"/>
      <c r="J392" s="17"/>
      <c r="K392" s="17"/>
      <c r="L392" s="16"/>
      <c r="N392" s="11"/>
      <c r="O392" s="11"/>
    </row>
    <row r="393">
      <c r="C393" s="11"/>
      <c r="F393" s="15"/>
      <c r="G393" s="15"/>
      <c r="H393" s="16"/>
      <c r="J393" s="17"/>
      <c r="K393" s="17"/>
      <c r="L393" s="16"/>
      <c r="N393" s="11"/>
      <c r="O393" s="11"/>
    </row>
    <row r="394">
      <c r="C394" s="11"/>
      <c r="F394" s="15"/>
      <c r="G394" s="15"/>
      <c r="H394" s="16"/>
      <c r="J394" s="17"/>
      <c r="K394" s="17"/>
      <c r="L394" s="16"/>
      <c r="N394" s="11"/>
      <c r="O394" s="11"/>
    </row>
    <row r="395">
      <c r="C395" s="11"/>
      <c r="F395" s="15"/>
      <c r="G395" s="15"/>
      <c r="H395" s="16"/>
      <c r="J395" s="17"/>
      <c r="K395" s="17"/>
      <c r="L395" s="16"/>
      <c r="N395" s="11"/>
      <c r="O395" s="11"/>
    </row>
    <row r="396">
      <c r="C396" s="11"/>
      <c r="F396" s="15"/>
      <c r="G396" s="15"/>
      <c r="H396" s="16"/>
      <c r="J396" s="17"/>
      <c r="K396" s="17"/>
      <c r="L396" s="16"/>
      <c r="N396" s="11"/>
      <c r="O396" s="11"/>
    </row>
    <row r="397">
      <c r="C397" s="11"/>
      <c r="F397" s="15"/>
      <c r="G397" s="15"/>
      <c r="H397" s="16"/>
      <c r="J397" s="17"/>
      <c r="K397" s="17"/>
      <c r="L397" s="16"/>
      <c r="N397" s="11"/>
      <c r="O397" s="11"/>
    </row>
    <row r="398">
      <c r="C398" s="11"/>
      <c r="F398" s="15"/>
      <c r="G398" s="15"/>
      <c r="H398" s="16"/>
      <c r="J398" s="17"/>
      <c r="K398" s="17"/>
      <c r="L398" s="16"/>
      <c r="N398" s="11"/>
      <c r="O398" s="11"/>
    </row>
    <row r="399">
      <c r="C399" s="11"/>
      <c r="F399" s="15"/>
      <c r="G399" s="15"/>
      <c r="H399" s="16"/>
      <c r="J399" s="17"/>
      <c r="K399" s="17"/>
      <c r="L399" s="16"/>
      <c r="N399" s="11"/>
      <c r="O399" s="11"/>
    </row>
    <row r="400">
      <c r="C400" s="11"/>
      <c r="F400" s="15"/>
      <c r="G400" s="15"/>
      <c r="H400" s="16"/>
      <c r="J400" s="17"/>
      <c r="K400" s="17"/>
      <c r="L400" s="16"/>
      <c r="N400" s="11"/>
      <c r="O400" s="11"/>
    </row>
    <row r="401">
      <c r="C401" s="11"/>
      <c r="F401" s="15"/>
      <c r="G401" s="15"/>
      <c r="H401" s="16"/>
      <c r="J401" s="17"/>
      <c r="K401" s="17"/>
      <c r="L401" s="16"/>
      <c r="N401" s="11"/>
      <c r="O401" s="11"/>
    </row>
    <row r="402">
      <c r="C402" s="11"/>
      <c r="F402" s="15"/>
      <c r="G402" s="15"/>
      <c r="H402" s="16"/>
      <c r="J402" s="17"/>
      <c r="K402" s="17"/>
      <c r="L402" s="16"/>
      <c r="N402" s="11"/>
      <c r="O402" s="11"/>
    </row>
    <row r="403">
      <c r="C403" s="11"/>
      <c r="F403" s="15"/>
      <c r="G403" s="15"/>
      <c r="H403" s="16"/>
      <c r="J403" s="17"/>
      <c r="K403" s="17"/>
      <c r="L403" s="16"/>
      <c r="N403" s="11"/>
      <c r="O403" s="11"/>
    </row>
    <row r="404">
      <c r="C404" s="11"/>
      <c r="F404" s="15"/>
      <c r="G404" s="15"/>
      <c r="H404" s="16"/>
      <c r="J404" s="17"/>
      <c r="K404" s="17"/>
      <c r="L404" s="16"/>
      <c r="N404" s="11"/>
      <c r="O404" s="11"/>
    </row>
    <row r="405">
      <c r="C405" s="11"/>
      <c r="F405" s="15"/>
      <c r="G405" s="15"/>
      <c r="H405" s="16"/>
      <c r="J405" s="17"/>
      <c r="K405" s="17"/>
      <c r="L405" s="16"/>
      <c r="N405" s="11"/>
      <c r="O405" s="11"/>
    </row>
    <row r="406">
      <c r="C406" s="11"/>
      <c r="F406" s="15"/>
      <c r="G406" s="15"/>
      <c r="H406" s="16"/>
      <c r="J406" s="17"/>
      <c r="K406" s="17"/>
      <c r="L406" s="16"/>
      <c r="N406" s="11"/>
      <c r="O406" s="11"/>
    </row>
    <row r="407">
      <c r="C407" s="11"/>
      <c r="F407" s="15"/>
      <c r="G407" s="15"/>
      <c r="H407" s="16"/>
      <c r="J407" s="17"/>
      <c r="K407" s="17"/>
      <c r="L407" s="16"/>
      <c r="N407" s="11"/>
      <c r="O407" s="11"/>
    </row>
    <row r="408">
      <c r="C408" s="11"/>
      <c r="F408" s="15"/>
      <c r="G408" s="15"/>
      <c r="H408" s="16"/>
      <c r="J408" s="17"/>
      <c r="K408" s="17"/>
      <c r="L408" s="16"/>
      <c r="N408" s="11"/>
      <c r="O408" s="11"/>
    </row>
    <row r="409">
      <c r="C409" s="11"/>
      <c r="F409" s="15"/>
      <c r="G409" s="15"/>
      <c r="H409" s="16"/>
      <c r="J409" s="17"/>
      <c r="K409" s="17"/>
      <c r="L409" s="16"/>
      <c r="N409" s="11"/>
      <c r="O409" s="11"/>
    </row>
    <row r="410">
      <c r="C410" s="11"/>
      <c r="F410" s="15"/>
      <c r="G410" s="15"/>
      <c r="H410" s="16"/>
      <c r="J410" s="17"/>
      <c r="K410" s="17"/>
      <c r="L410" s="16"/>
      <c r="N410" s="11"/>
      <c r="O410" s="11"/>
    </row>
    <row r="411">
      <c r="C411" s="11"/>
      <c r="F411" s="15"/>
      <c r="G411" s="15"/>
      <c r="H411" s="16"/>
      <c r="J411" s="17"/>
      <c r="K411" s="17"/>
      <c r="L411" s="16"/>
      <c r="N411" s="11"/>
      <c r="O411" s="11"/>
    </row>
    <row r="412">
      <c r="C412" s="11"/>
      <c r="F412" s="15"/>
      <c r="G412" s="15"/>
      <c r="H412" s="16"/>
      <c r="J412" s="17"/>
      <c r="K412" s="17"/>
      <c r="L412" s="16"/>
      <c r="N412" s="11"/>
      <c r="O412" s="11"/>
    </row>
    <row r="413">
      <c r="C413" s="11"/>
      <c r="F413" s="15"/>
      <c r="G413" s="15"/>
      <c r="H413" s="16"/>
      <c r="J413" s="17"/>
      <c r="K413" s="17"/>
      <c r="L413" s="16"/>
      <c r="N413" s="11"/>
      <c r="O413" s="11"/>
    </row>
    <row r="414">
      <c r="C414" s="11"/>
      <c r="F414" s="15"/>
      <c r="G414" s="15"/>
      <c r="H414" s="16"/>
      <c r="J414" s="17"/>
      <c r="K414" s="17"/>
      <c r="L414" s="16"/>
      <c r="N414" s="11"/>
      <c r="O414" s="11"/>
    </row>
    <row r="415">
      <c r="C415" s="11"/>
      <c r="F415" s="15"/>
      <c r="G415" s="15"/>
      <c r="H415" s="16"/>
      <c r="J415" s="17"/>
      <c r="K415" s="17"/>
      <c r="L415" s="16"/>
      <c r="N415" s="11"/>
      <c r="O415" s="11"/>
    </row>
    <row r="416">
      <c r="C416" s="11"/>
      <c r="F416" s="15"/>
      <c r="G416" s="15"/>
      <c r="H416" s="16"/>
      <c r="J416" s="17"/>
      <c r="K416" s="17"/>
      <c r="L416" s="16"/>
      <c r="N416" s="11"/>
      <c r="O416" s="11"/>
    </row>
    <row r="417">
      <c r="C417" s="11"/>
      <c r="F417" s="15"/>
      <c r="G417" s="15"/>
      <c r="H417" s="16"/>
      <c r="J417" s="17"/>
      <c r="K417" s="17"/>
      <c r="L417" s="16"/>
      <c r="N417" s="11"/>
      <c r="O417" s="11"/>
    </row>
    <row r="418">
      <c r="C418" s="11"/>
      <c r="F418" s="15"/>
      <c r="G418" s="15"/>
      <c r="H418" s="16"/>
      <c r="J418" s="17"/>
      <c r="K418" s="17"/>
      <c r="L418" s="16"/>
      <c r="N418" s="11"/>
      <c r="O418" s="11"/>
    </row>
    <row r="419">
      <c r="C419" s="11"/>
      <c r="F419" s="15"/>
      <c r="G419" s="15"/>
      <c r="H419" s="16"/>
      <c r="J419" s="17"/>
      <c r="K419" s="17"/>
      <c r="L419" s="16"/>
      <c r="N419" s="11"/>
      <c r="O419" s="11"/>
    </row>
    <row r="420">
      <c r="C420" s="11"/>
      <c r="F420" s="15"/>
      <c r="G420" s="15"/>
      <c r="H420" s="16"/>
      <c r="J420" s="17"/>
      <c r="K420" s="17"/>
      <c r="L420" s="16"/>
      <c r="N420" s="11"/>
      <c r="O420" s="11"/>
    </row>
    <row r="421">
      <c r="C421" s="11"/>
      <c r="F421" s="15"/>
      <c r="G421" s="15"/>
      <c r="H421" s="16"/>
      <c r="J421" s="17"/>
      <c r="K421" s="17"/>
      <c r="L421" s="16"/>
      <c r="N421" s="11"/>
      <c r="O421" s="11"/>
    </row>
    <row r="422">
      <c r="C422" s="11"/>
      <c r="F422" s="15"/>
      <c r="G422" s="15"/>
      <c r="H422" s="16"/>
      <c r="J422" s="17"/>
      <c r="K422" s="17"/>
      <c r="L422" s="16"/>
      <c r="N422" s="11"/>
      <c r="O422" s="11"/>
    </row>
    <row r="423">
      <c r="C423" s="11"/>
      <c r="F423" s="15"/>
      <c r="G423" s="15"/>
      <c r="H423" s="16"/>
      <c r="J423" s="17"/>
      <c r="K423" s="17"/>
      <c r="L423" s="16"/>
      <c r="N423" s="11"/>
      <c r="O423" s="11"/>
    </row>
    <row r="424">
      <c r="C424" s="11"/>
      <c r="F424" s="15"/>
      <c r="G424" s="15"/>
      <c r="H424" s="16"/>
      <c r="J424" s="17"/>
      <c r="K424" s="17"/>
      <c r="L424" s="16"/>
      <c r="N424" s="11"/>
      <c r="O424" s="11"/>
    </row>
    <row r="425">
      <c r="C425" s="11"/>
      <c r="F425" s="15"/>
      <c r="G425" s="15"/>
      <c r="H425" s="16"/>
      <c r="J425" s="17"/>
      <c r="K425" s="17"/>
      <c r="L425" s="16"/>
      <c r="N425" s="11"/>
      <c r="O425" s="11"/>
    </row>
    <row r="426">
      <c r="C426" s="11"/>
      <c r="F426" s="15"/>
      <c r="G426" s="15"/>
      <c r="H426" s="16"/>
      <c r="J426" s="17"/>
      <c r="K426" s="17"/>
      <c r="L426" s="16"/>
      <c r="N426" s="11"/>
      <c r="O426" s="11"/>
    </row>
    <row r="427">
      <c r="C427" s="11"/>
      <c r="F427" s="15"/>
      <c r="G427" s="15"/>
      <c r="H427" s="16"/>
      <c r="J427" s="17"/>
      <c r="K427" s="17"/>
      <c r="L427" s="16"/>
      <c r="N427" s="11"/>
      <c r="O427" s="11"/>
    </row>
    <row r="428">
      <c r="C428" s="11"/>
      <c r="F428" s="15"/>
      <c r="G428" s="15"/>
      <c r="H428" s="16"/>
      <c r="J428" s="17"/>
      <c r="K428" s="17"/>
      <c r="L428" s="16"/>
      <c r="N428" s="11"/>
      <c r="O428" s="11"/>
    </row>
    <row r="429">
      <c r="C429" s="11"/>
      <c r="F429" s="15"/>
      <c r="G429" s="15"/>
      <c r="H429" s="16"/>
      <c r="J429" s="17"/>
      <c r="K429" s="17"/>
      <c r="L429" s="16"/>
      <c r="N429" s="11"/>
      <c r="O429" s="11"/>
    </row>
    <row r="430">
      <c r="C430" s="11"/>
      <c r="F430" s="15"/>
      <c r="G430" s="15"/>
      <c r="H430" s="16"/>
      <c r="J430" s="17"/>
      <c r="K430" s="17"/>
      <c r="L430" s="16"/>
      <c r="N430" s="11"/>
      <c r="O430" s="11"/>
    </row>
    <row r="431">
      <c r="C431" s="11"/>
      <c r="F431" s="15"/>
      <c r="G431" s="15"/>
      <c r="H431" s="16"/>
      <c r="J431" s="17"/>
      <c r="K431" s="17"/>
      <c r="L431" s="16"/>
      <c r="N431" s="11"/>
      <c r="O431" s="11"/>
    </row>
    <row r="432">
      <c r="C432" s="11"/>
      <c r="F432" s="15"/>
      <c r="G432" s="15"/>
      <c r="H432" s="16"/>
      <c r="J432" s="17"/>
      <c r="K432" s="17"/>
      <c r="L432" s="16"/>
      <c r="N432" s="11"/>
      <c r="O432" s="11"/>
    </row>
    <row r="433">
      <c r="J433" s="18"/>
      <c r="K433" s="18"/>
    </row>
    <row r="434">
      <c r="J434" s="18"/>
      <c r="K434" s="18"/>
    </row>
    <row r="435">
      <c r="J435" s="18"/>
      <c r="K435" s="18"/>
    </row>
    <row r="436">
      <c r="J436" s="18"/>
      <c r="K436" s="18"/>
    </row>
    <row r="437">
      <c r="J437" s="18"/>
      <c r="K437" s="18"/>
    </row>
    <row r="438">
      <c r="J438" s="18"/>
      <c r="K438" s="18"/>
    </row>
    <row r="439">
      <c r="J439" s="18"/>
      <c r="K439" s="18"/>
    </row>
    <row r="440">
      <c r="J440" s="18"/>
      <c r="K440" s="18"/>
    </row>
    <row r="441">
      <c r="J441" s="18"/>
      <c r="K441" s="18"/>
    </row>
    <row r="442">
      <c r="J442" s="18"/>
      <c r="K442" s="18"/>
    </row>
    <row r="443">
      <c r="J443" s="18"/>
      <c r="K443" s="18"/>
    </row>
    <row r="444">
      <c r="J444" s="18"/>
      <c r="K444" s="18"/>
    </row>
    <row r="445">
      <c r="J445" s="18"/>
      <c r="K445" s="18"/>
    </row>
    <row r="446">
      <c r="J446" s="18"/>
      <c r="K446" s="18"/>
    </row>
    <row r="447">
      <c r="J447" s="18"/>
      <c r="K447" s="18"/>
    </row>
    <row r="448">
      <c r="J448" s="18"/>
      <c r="K448" s="18"/>
    </row>
    <row r="449">
      <c r="J449" s="18"/>
      <c r="K449" s="18"/>
    </row>
    <row r="450">
      <c r="J450" s="18"/>
      <c r="K450" s="18"/>
    </row>
    <row r="451">
      <c r="J451" s="18"/>
      <c r="K451" s="18"/>
    </row>
    <row r="452">
      <c r="J452" s="18"/>
      <c r="K452" s="18"/>
    </row>
    <row r="453">
      <c r="J453" s="18"/>
      <c r="K453" s="18"/>
    </row>
    <row r="454">
      <c r="J454" s="18"/>
      <c r="K454" s="18"/>
    </row>
    <row r="455">
      <c r="J455" s="18"/>
      <c r="K455" s="18"/>
    </row>
    <row r="456">
      <c r="J456" s="18"/>
      <c r="K456" s="18"/>
    </row>
    <row r="457">
      <c r="J457" s="18"/>
      <c r="K457" s="18"/>
    </row>
    <row r="458">
      <c r="J458" s="18"/>
      <c r="K458" s="18"/>
    </row>
    <row r="459">
      <c r="J459" s="18"/>
      <c r="K459" s="18"/>
    </row>
    <row r="460">
      <c r="J460" s="18"/>
      <c r="K460" s="18"/>
    </row>
    <row r="461">
      <c r="J461" s="18"/>
      <c r="K461" s="18"/>
    </row>
    <row r="462">
      <c r="J462" s="18"/>
      <c r="K462" s="18"/>
    </row>
    <row r="463">
      <c r="J463" s="18"/>
      <c r="K463" s="18"/>
    </row>
    <row r="464">
      <c r="J464" s="18"/>
      <c r="K464" s="18"/>
    </row>
    <row r="465">
      <c r="J465" s="18"/>
      <c r="K465" s="18"/>
    </row>
    <row r="466">
      <c r="J466" s="18"/>
      <c r="K466" s="18"/>
    </row>
    <row r="467">
      <c r="J467" s="18"/>
      <c r="K467" s="18"/>
    </row>
    <row r="468">
      <c r="J468" s="18"/>
      <c r="K468" s="18"/>
    </row>
    <row r="469">
      <c r="J469" s="18"/>
      <c r="K469" s="18"/>
    </row>
    <row r="470">
      <c r="J470" s="18"/>
      <c r="K470" s="18"/>
    </row>
    <row r="471">
      <c r="J471" s="18"/>
      <c r="K471" s="18"/>
    </row>
    <row r="472">
      <c r="J472" s="18"/>
      <c r="K472" s="18"/>
    </row>
    <row r="473">
      <c r="J473" s="18"/>
      <c r="K473" s="18"/>
    </row>
    <row r="474">
      <c r="J474" s="18"/>
      <c r="K474" s="18"/>
    </row>
    <row r="475">
      <c r="J475" s="18"/>
      <c r="K475" s="18"/>
    </row>
    <row r="476">
      <c r="J476" s="18"/>
      <c r="K476" s="18"/>
    </row>
    <row r="477">
      <c r="J477" s="18"/>
      <c r="K477" s="18"/>
    </row>
    <row r="478">
      <c r="J478" s="18"/>
      <c r="K478" s="18"/>
    </row>
    <row r="479">
      <c r="J479" s="18"/>
      <c r="K479" s="18"/>
    </row>
    <row r="480">
      <c r="J480" s="18"/>
      <c r="K480" s="18"/>
    </row>
    <row r="481">
      <c r="J481" s="18"/>
      <c r="K481" s="18"/>
    </row>
    <row r="482">
      <c r="J482" s="18"/>
      <c r="K482" s="18"/>
    </row>
    <row r="483">
      <c r="J483" s="18"/>
      <c r="K483" s="18"/>
    </row>
    <row r="484">
      <c r="J484" s="18"/>
      <c r="K484" s="18"/>
    </row>
    <row r="485">
      <c r="J485" s="18"/>
      <c r="K485" s="18"/>
    </row>
    <row r="486">
      <c r="J486" s="18"/>
      <c r="K486" s="18"/>
    </row>
    <row r="487">
      <c r="J487" s="18"/>
      <c r="K487" s="18"/>
    </row>
    <row r="488">
      <c r="J488" s="18"/>
      <c r="K488" s="18"/>
    </row>
    <row r="489">
      <c r="J489" s="18"/>
      <c r="K489" s="18"/>
    </row>
    <row r="490">
      <c r="J490" s="18"/>
      <c r="K490" s="18"/>
    </row>
    <row r="491">
      <c r="J491" s="18"/>
      <c r="K491" s="18"/>
    </row>
    <row r="492">
      <c r="J492" s="18"/>
      <c r="K492" s="18"/>
    </row>
    <row r="493">
      <c r="J493" s="18"/>
      <c r="K493" s="18"/>
    </row>
    <row r="494">
      <c r="J494" s="18"/>
      <c r="K494" s="18"/>
    </row>
    <row r="495">
      <c r="J495" s="18"/>
      <c r="K495" s="18"/>
    </row>
    <row r="496">
      <c r="J496" s="18"/>
      <c r="K496" s="18"/>
    </row>
    <row r="497">
      <c r="J497" s="18"/>
      <c r="K497" s="18"/>
    </row>
    <row r="498">
      <c r="J498" s="18"/>
      <c r="K498" s="18"/>
    </row>
    <row r="499">
      <c r="J499" s="18"/>
      <c r="K499" s="18"/>
    </row>
    <row r="500">
      <c r="J500" s="18"/>
      <c r="K500" s="18"/>
    </row>
    <row r="501">
      <c r="J501" s="18"/>
      <c r="K501" s="18"/>
    </row>
    <row r="502">
      <c r="J502" s="18"/>
      <c r="K502" s="18"/>
    </row>
    <row r="503">
      <c r="J503" s="18"/>
      <c r="K503" s="18"/>
    </row>
    <row r="504">
      <c r="J504" s="18"/>
      <c r="K504" s="18"/>
    </row>
    <row r="505">
      <c r="J505" s="18"/>
      <c r="K505" s="18"/>
    </row>
    <row r="506">
      <c r="J506" s="18"/>
      <c r="K506" s="18"/>
    </row>
    <row r="507">
      <c r="J507" s="18"/>
      <c r="K507" s="18"/>
    </row>
    <row r="508">
      <c r="J508" s="18"/>
      <c r="K508" s="18"/>
    </row>
    <row r="509">
      <c r="J509" s="18"/>
      <c r="K509" s="18"/>
    </row>
    <row r="510">
      <c r="J510" s="18"/>
      <c r="K510" s="18"/>
    </row>
    <row r="511">
      <c r="J511" s="18"/>
      <c r="K511" s="18"/>
    </row>
    <row r="512">
      <c r="J512" s="18"/>
      <c r="K512" s="18"/>
    </row>
    <row r="513">
      <c r="J513" s="18"/>
      <c r="K513" s="18"/>
    </row>
    <row r="514">
      <c r="J514" s="18"/>
      <c r="K514" s="18"/>
    </row>
    <row r="515">
      <c r="J515" s="18"/>
      <c r="K515" s="18"/>
    </row>
    <row r="516">
      <c r="J516" s="18"/>
      <c r="K516" s="18"/>
    </row>
    <row r="517">
      <c r="J517" s="18"/>
      <c r="K517" s="18"/>
    </row>
    <row r="518">
      <c r="J518" s="18"/>
      <c r="K518" s="18"/>
    </row>
    <row r="519">
      <c r="J519" s="18"/>
      <c r="K519" s="18"/>
    </row>
    <row r="520">
      <c r="J520" s="18"/>
      <c r="K520" s="18"/>
    </row>
    <row r="521">
      <c r="J521" s="18"/>
      <c r="K521" s="18"/>
    </row>
    <row r="522">
      <c r="J522" s="18"/>
      <c r="K522" s="18"/>
    </row>
    <row r="523">
      <c r="J523" s="18"/>
      <c r="K523" s="18"/>
    </row>
    <row r="524">
      <c r="J524" s="18"/>
      <c r="K524" s="18"/>
    </row>
    <row r="525">
      <c r="J525" s="18"/>
      <c r="K525" s="18"/>
    </row>
    <row r="526">
      <c r="J526" s="18"/>
      <c r="K526" s="18"/>
    </row>
    <row r="527">
      <c r="J527" s="18"/>
      <c r="K527" s="18"/>
    </row>
    <row r="528">
      <c r="J528" s="18"/>
      <c r="K528" s="18"/>
    </row>
    <row r="529">
      <c r="J529" s="18"/>
      <c r="K529" s="18"/>
    </row>
    <row r="530">
      <c r="J530" s="18"/>
      <c r="K530" s="18"/>
    </row>
    <row r="531">
      <c r="J531" s="18"/>
      <c r="K531" s="18"/>
    </row>
    <row r="532">
      <c r="J532" s="18"/>
      <c r="K532" s="18"/>
    </row>
    <row r="533">
      <c r="J533" s="18"/>
      <c r="K533" s="18"/>
    </row>
    <row r="534">
      <c r="J534" s="18"/>
      <c r="K534" s="18"/>
    </row>
    <row r="535">
      <c r="J535" s="18"/>
      <c r="K535" s="18"/>
    </row>
    <row r="536">
      <c r="J536" s="18"/>
      <c r="K536" s="18"/>
    </row>
    <row r="537">
      <c r="J537" s="18"/>
      <c r="K537" s="18"/>
    </row>
    <row r="538">
      <c r="J538" s="18"/>
      <c r="K538" s="18"/>
    </row>
    <row r="539">
      <c r="J539" s="18"/>
      <c r="K539" s="18"/>
    </row>
    <row r="540">
      <c r="J540" s="18"/>
      <c r="K540" s="18"/>
    </row>
    <row r="541">
      <c r="J541" s="18"/>
      <c r="K541" s="18"/>
    </row>
    <row r="542">
      <c r="J542" s="18"/>
      <c r="K542" s="18"/>
    </row>
    <row r="543">
      <c r="J543" s="18"/>
      <c r="K543" s="18"/>
    </row>
    <row r="544">
      <c r="J544" s="18"/>
      <c r="K544" s="18"/>
    </row>
    <row r="545">
      <c r="J545" s="18"/>
      <c r="K545" s="18"/>
    </row>
    <row r="546">
      <c r="J546" s="18"/>
      <c r="K546" s="18"/>
    </row>
    <row r="547">
      <c r="J547" s="18"/>
      <c r="K547" s="18"/>
    </row>
    <row r="548">
      <c r="J548" s="18"/>
      <c r="K548" s="18"/>
    </row>
    <row r="549">
      <c r="J549" s="18"/>
      <c r="K549" s="18"/>
    </row>
    <row r="550">
      <c r="J550" s="18"/>
      <c r="K550" s="18"/>
    </row>
    <row r="551">
      <c r="J551" s="18"/>
      <c r="K551" s="18"/>
    </row>
    <row r="552">
      <c r="J552" s="18"/>
      <c r="K552" s="18"/>
    </row>
    <row r="553">
      <c r="J553" s="18"/>
      <c r="K553" s="18"/>
    </row>
    <row r="554">
      <c r="J554" s="18"/>
      <c r="K554" s="18"/>
    </row>
    <row r="555">
      <c r="J555" s="18"/>
      <c r="K555" s="18"/>
    </row>
    <row r="556">
      <c r="J556" s="18"/>
      <c r="K556" s="18"/>
    </row>
    <row r="557">
      <c r="J557" s="18"/>
      <c r="K557" s="18"/>
    </row>
    <row r="558">
      <c r="J558" s="18"/>
      <c r="K558" s="18"/>
    </row>
    <row r="559">
      <c r="J559" s="18"/>
      <c r="K559" s="18"/>
    </row>
    <row r="560">
      <c r="J560" s="18"/>
      <c r="K560" s="18"/>
    </row>
    <row r="561">
      <c r="J561" s="18"/>
      <c r="K561" s="18"/>
    </row>
    <row r="562">
      <c r="J562" s="18"/>
      <c r="K562" s="18"/>
    </row>
    <row r="563">
      <c r="J563" s="18"/>
      <c r="K563" s="18"/>
    </row>
    <row r="564">
      <c r="J564" s="18"/>
      <c r="K564" s="18"/>
    </row>
    <row r="565">
      <c r="J565" s="18"/>
      <c r="K565" s="18"/>
    </row>
    <row r="566">
      <c r="J566" s="18"/>
      <c r="K566" s="18"/>
    </row>
    <row r="567">
      <c r="J567" s="18"/>
      <c r="K567" s="18"/>
    </row>
    <row r="568">
      <c r="J568" s="18"/>
      <c r="K568" s="18"/>
    </row>
    <row r="569">
      <c r="J569" s="18"/>
      <c r="K569" s="18"/>
    </row>
    <row r="570">
      <c r="J570" s="18"/>
      <c r="K570" s="18"/>
    </row>
    <row r="571">
      <c r="J571" s="18"/>
      <c r="K571" s="18"/>
    </row>
    <row r="572">
      <c r="J572" s="18"/>
      <c r="K572" s="18"/>
    </row>
    <row r="573">
      <c r="J573" s="18"/>
      <c r="K573" s="18"/>
    </row>
    <row r="574">
      <c r="J574" s="18"/>
      <c r="K574" s="18"/>
    </row>
    <row r="575">
      <c r="J575" s="18"/>
      <c r="K575" s="18"/>
    </row>
    <row r="576">
      <c r="J576" s="18"/>
      <c r="K576" s="18"/>
    </row>
    <row r="577">
      <c r="J577" s="18"/>
      <c r="K577" s="18"/>
    </row>
    <row r="578">
      <c r="J578" s="18"/>
      <c r="K578" s="18"/>
    </row>
    <row r="579">
      <c r="J579" s="18"/>
      <c r="K579" s="18"/>
    </row>
    <row r="580">
      <c r="J580" s="18"/>
      <c r="K580" s="18"/>
    </row>
    <row r="581">
      <c r="J581" s="18"/>
      <c r="K581" s="18"/>
    </row>
    <row r="582">
      <c r="J582" s="18"/>
      <c r="K582" s="18"/>
    </row>
    <row r="583">
      <c r="J583" s="18"/>
      <c r="K583" s="18"/>
    </row>
    <row r="584">
      <c r="J584" s="18"/>
      <c r="K584" s="18"/>
    </row>
    <row r="585">
      <c r="J585" s="18"/>
      <c r="K585" s="18"/>
    </row>
    <row r="586">
      <c r="J586" s="18"/>
      <c r="K586" s="18"/>
    </row>
    <row r="587">
      <c r="J587" s="18"/>
      <c r="K587" s="18"/>
    </row>
    <row r="588">
      <c r="J588" s="18"/>
      <c r="K588" s="18"/>
    </row>
    <row r="589">
      <c r="J589" s="18"/>
      <c r="K589" s="18"/>
    </row>
    <row r="590">
      <c r="J590" s="18"/>
      <c r="K590" s="18"/>
    </row>
    <row r="591">
      <c r="J591" s="18"/>
      <c r="K591" s="18"/>
    </row>
    <row r="592">
      <c r="J592" s="18"/>
      <c r="K592" s="18"/>
    </row>
    <row r="593">
      <c r="J593" s="18"/>
      <c r="K593" s="18"/>
    </row>
    <row r="594">
      <c r="J594" s="18"/>
      <c r="K594" s="18"/>
    </row>
    <row r="595">
      <c r="J595" s="18"/>
      <c r="K595" s="18"/>
    </row>
    <row r="596">
      <c r="J596" s="18"/>
      <c r="K596" s="18"/>
    </row>
    <row r="597">
      <c r="J597" s="18"/>
      <c r="K597" s="18"/>
    </row>
    <row r="598">
      <c r="J598" s="18"/>
      <c r="K598" s="18"/>
    </row>
    <row r="599">
      <c r="J599" s="18"/>
      <c r="K599" s="18"/>
    </row>
    <row r="600">
      <c r="J600" s="18"/>
      <c r="K600" s="18"/>
    </row>
    <row r="601">
      <c r="J601" s="18"/>
      <c r="K601" s="18"/>
    </row>
    <row r="602">
      <c r="J602" s="18"/>
      <c r="K602" s="18"/>
    </row>
    <row r="603">
      <c r="J603" s="18"/>
      <c r="K603" s="18"/>
    </row>
    <row r="604">
      <c r="J604" s="18"/>
      <c r="K604" s="18"/>
    </row>
    <row r="605">
      <c r="J605" s="18"/>
      <c r="K605" s="18"/>
    </row>
    <row r="606">
      <c r="J606" s="18"/>
      <c r="K606" s="18"/>
    </row>
    <row r="607">
      <c r="J607" s="18"/>
      <c r="K607" s="18"/>
    </row>
    <row r="608">
      <c r="J608" s="18"/>
      <c r="K608" s="18"/>
    </row>
    <row r="609">
      <c r="J609" s="18"/>
      <c r="K609" s="18"/>
    </row>
    <row r="610">
      <c r="J610" s="18"/>
      <c r="K610" s="18"/>
    </row>
    <row r="611">
      <c r="J611" s="18"/>
      <c r="K611" s="18"/>
    </row>
    <row r="612">
      <c r="J612" s="18"/>
      <c r="K612" s="18"/>
    </row>
    <row r="613">
      <c r="J613" s="18"/>
      <c r="K613" s="18"/>
    </row>
    <row r="614">
      <c r="J614" s="18"/>
      <c r="K614" s="18"/>
    </row>
    <row r="615">
      <c r="J615" s="18"/>
      <c r="K615" s="18"/>
    </row>
    <row r="616">
      <c r="J616" s="18"/>
      <c r="K616" s="18"/>
    </row>
    <row r="617">
      <c r="J617" s="18"/>
      <c r="K617" s="18"/>
    </row>
    <row r="618">
      <c r="J618" s="18"/>
      <c r="K618" s="18"/>
    </row>
    <row r="619">
      <c r="J619" s="18"/>
      <c r="K619" s="18"/>
    </row>
    <row r="620">
      <c r="J620" s="18"/>
      <c r="K620" s="18"/>
    </row>
    <row r="621">
      <c r="J621" s="18"/>
      <c r="K621" s="18"/>
    </row>
    <row r="622">
      <c r="J622" s="18"/>
      <c r="K622" s="18"/>
    </row>
    <row r="623">
      <c r="J623" s="18"/>
      <c r="K623" s="18"/>
    </row>
    <row r="624">
      <c r="J624" s="18"/>
      <c r="K624" s="18"/>
    </row>
    <row r="625">
      <c r="J625" s="18"/>
      <c r="K625" s="18"/>
    </row>
    <row r="626">
      <c r="J626" s="18"/>
      <c r="K626" s="18"/>
    </row>
    <row r="627">
      <c r="J627" s="18"/>
      <c r="K627" s="18"/>
    </row>
    <row r="628">
      <c r="J628" s="18"/>
      <c r="K628" s="18"/>
    </row>
    <row r="629">
      <c r="J629" s="18"/>
      <c r="K629" s="18"/>
    </row>
    <row r="630">
      <c r="J630" s="18"/>
      <c r="K630" s="18"/>
    </row>
    <row r="631">
      <c r="J631" s="18"/>
      <c r="K631" s="18"/>
    </row>
    <row r="632">
      <c r="J632" s="18"/>
      <c r="K632" s="18"/>
    </row>
    <row r="633">
      <c r="J633" s="18"/>
      <c r="K633" s="18"/>
    </row>
    <row r="634">
      <c r="J634" s="18"/>
      <c r="K634" s="18"/>
    </row>
    <row r="635">
      <c r="J635" s="18"/>
      <c r="K635" s="18"/>
    </row>
    <row r="636">
      <c r="J636" s="18"/>
      <c r="K636" s="18"/>
    </row>
    <row r="637">
      <c r="J637" s="18"/>
      <c r="K637" s="18"/>
    </row>
    <row r="638">
      <c r="J638" s="18"/>
      <c r="K638" s="18"/>
    </row>
    <row r="639">
      <c r="J639" s="18"/>
      <c r="K639" s="18"/>
    </row>
    <row r="640">
      <c r="J640" s="18"/>
      <c r="K640" s="18"/>
    </row>
    <row r="641">
      <c r="J641" s="18"/>
      <c r="K641" s="18"/>
    </row>
    <row r="642">
      <c r="J642" s="18"/>
      <c r="K642" s="18"/>
    </row>
    <row r="643">
      <c r="J643" s="18"/>
      <c r="K643" s="18"/>
    </row>
    <row r="644">
      <c r="J644" s="18"/>
      <c r="K644" s="18"/>
    </row>
    <row r="645">
      <c r="J645" s="18"/>
      <c r="K645" s="18"/>
    </row>
    <row r="646">
      <c r="J646" s="18"/>
      <c r="K646" s="18"/>
    </row>
    <row r="647">
      <c r="J647" s="18"/>
      <c r="K647" s="18"/>
    </row>
    <row r="648">
      <c r="J648" s="18"/>
      <c r="K648" s="18"/>
    </row>
    <row r="649">
      <c r="J649" s="18"/>
      <c r="K649" s="18"/>
    </row>
    <row r="650">
      <c r="J650" s="18"/>
      <c r="K650" s="18"/>
    </row>
    <row r="651">
      <c r="J651" s="18"/>
      <c r="K651" s="18"/>
    </row>
    <row r="652">
      <c r="J652" s="18"/>
      <c r="K652" s="18"/>
    </row>
    <row r="653">
      <c r="J653" s="18"/>
      <c r="K653" s="18"/>
    </row>
    <row r="654">
      <c r="J654" s="18"/>
      <c r="K654" s="18"/>
    </row>
    <row r="655">
      <c r="J655" s="18"/>
      <c r="K655" s="18"/>
    </row>
    <row r="656">
      <c r="J656" s="18"/>
      <c r="K656" s="18"/>
    </row>
    <row r="657">
      <c r="J657" s="18"/>
      <c r="K657" s="18"/>
    </row>
    <row r="658">
      <c r="J658" s="18"/>
      <c r="K658" s="18"/>
    </row>
    <row r="659">
      <c r="J659" s="18"/>
      <c r="K659" s="18"/>
    </row>
    <row r="660">
      <c r="J660" s="18"/>
      <c r="K660" s="18"/>
    </row>
    <row r="661">
      <c r="J661" s="18"/>
      <c r="K661" s="18"/>
    </row>
    <row r="662">
      <c r="J662" s="18"/>
      <c r="K662" s="18"/>
    </row>
    <row r="663">
      <c r="J663" s="18"/>
      <c r="K663" s="18"/>
    </row>
    <row r="664">
      <c r="J664" s="18"/>
      <c r="K664" s="18"/>
    </row>
    <row r="665">
      <c r="J665" s="18"/>
      <c r="K665" s="18"/>
    </row>
    <row r="666">
      <c r="J666" s="18"/>
      <c r="K666" s="18"/>
    </row>
    <row r="667">
      <c r="J667" s="18"/>
      <c r="K667" s="18"/>
    </row>
    <row r="668">
      <c r="J668" s="18"/>
      <c r="K668" s="18"/>
    </row>
    <row r="669">
      <c r="J669" s="18"/>
      <c r="K669" s="18"/>
    </row>
    <row r="670">
      <c r="J670" s="18"/>
      <c r="K670" s="18"/>
    </row>
    <row r="671">
      <c r="J671" s="18"/>
      <c r="K671" s="18"/>
    </row>
    <row r="672">
      <c r="J672" s="18"/>
      <c r="K672" s="18"/>
    </row>
    <row r="673">
      <c r="J673" s="18"/>
      <c r="K673" s="18"/>
    </row>
    <row r="674">
      <c r="J674" s="18"/>
      <c r="K674" s="18"/>
    </row>
    <row r="675">
      <c r="J675" s="18"/>
      <c r="K675" s="18"/>
    </row>
    <row r="676">
      <c r="J676" s="18"/>
      <c r="K676" s="18"/>
    </row>
    <row r="677">
      <c r="J677" s="18"/>
      <c r="K677" s="18"/>
    </row>
    <row r="678">
      <c r="J678" s="18"/>
      <c r="K678" s="18"/>
    </row>
    <row r="679">
      <c r="J679" s="18"/>
      <c r="K679" s="18"/>
    </row>
    <row r="680">
      <c r="J680" s="18"/>
      <c r="K680" s="18"/>
    </row>
    <row r="681">
      <c r="J681" s="18"/>
      <c r="K681" s="18"/>
    </row>
    <row r="682">
      <c r="J682" s="18"/>
      <c r="K682" s="18"/>
    </row>
    <row r="683">
      <c r="J683" s="18"/>
      <c r="K683" s="18"/>
    </row>
    <row r="684">
      <c r="J684" s="18"/>
      <c r="K684" s="18"/>
    </row>
    <row r="685">
      <c r="J685" s="18"/>
      <c r="K685" s="18"/>
    </row>
    <row r="686">
      <c r="J686" s="18"/>
      <c r="K686" s="18"/>
    </row>
    <row r="687">
      <c r="J687" s="18"/>
      <c r="K687" s="18"/>
    </row>
    <row r="688">
      <c r="J688" s="18"/>
      <c r="K688" s="18"/>
    </row>
    <row r="689">
      <c r="J689" s="18"/>
      <c r="K689" s="18"/>
    </row>
    <row r="690">
      <c r="J690" s="18"/>
      <c r="K690" s="18"/>
    </row>
    <row r="691">
      <c r="J691" s="18"/>
      <c r="K691" s="18"/>
    </row>
    <row r="692">
      <c r="J692" s="18"/>
      <c r="K692" s="18"/>
    </row>
    <row r="693">
      <c r="J693" s="18"/>
      <c r="K693" s="18"/>
    </row>
    <row r="694">
      <c r="J694" s="18"/>
      <c r="K694" s="18"/>
    </row>
    <row r="695">
      <c r="J695" s="18"/>
      <c r="K695" s="18"/>
    </row>
    <row r="696">
      <c r="J696" s="18"/>
      <c r="K696" s="18"/>
    </row>
    <row r="697">
      <c r="J697" s="18"/>
      <c r="K697" s="18"/>
    </row>
    <row r="698">
      <c r="J698" s="18"/>
      <c r="K698" s="18"/>
    </row>
    <row r="699">
      <c r="J699" s="18"/>
      <c r="K699" s="18"/>
    </row>
    <row r="700">
      <c r="J700" s="18"/>
      <c r="K700" s="18"/>
    </row>
    <row r="701">
      <c r="J701" s="18"/>
      <c r="K701" s="18"/>
    </row>
    <row r="702">
      <c r="J702" s="18"/>
      <c r="K702" s="18"/>
    </row>
    <row r="703">
      <c r="J703" s="18"/>
      <c r="K703" s="18"/>
    </row>
    <row r="704">
      <c r="J704" s="18"/>
      <c r="K704" s="18"/>
    </row>
    <row r="705">
      <c r="J705" s="18"/>
      <c r="K705" s="18"/>
    </row>
    <row r="706">
      <c r="J706" s="18"/>
      <c r="K706" s="18"/>
    </row>
    <row r="707">
      <c r="J707" s="18"/>
      <c r="K707" s="18"/>
    </row>
    <row r="708">
      <c r="J708" s="18"/>
      <c r="K708" s="18"/>
    </row>
    <row r="709">
      <c r="J709" s="18"/>
      <c r="K709" s="18"/>
    </row>
    <row r="710">
      <c r="J710" s="18"/>
      <c r="K710" s="18"/>
    </row>
    <row r="711">
      <c r="J711" s="18"/>
      <c r="K711" s="18"/>
    </row>
    <row r="712">
      <c r="J712" s="18"/>
      <c r="K712" s="18"/>
    </row>
    <row r="713">
      <c r="J713" s="18"/>
      <c r="K713" s="18"/>
    </row>
    <row r="714">
      <c r="J714" s="18"/>
      <c r="K714" s="18"/>
    </row>
    <row r="715">
      <c r="J715" s="18"/>
      <c r="K715" s="18"/>
    </row>
    <row r="716">
      <c r="J716" s="18"/>
      <c r="K716" s="18"/>
    </row>
    <row r="717">
      <c r="J717" s="18"/>
      <c r="K717" s="18"/>
    </row>
    <row r="718">
      <c r="J718" s="18"/>
      <c r="K718" s="18"/>
    </row>
    <row r="719">
      <c r="J719" s="18"/>
      <c r="K719" s="18"/>
    </row>
    <row r="720">
      <c r="J720" s="18"/>
      <c r="K720" s="18"/>
    </row>
    <row r="721">
      <c r="J721" s="18"/>
      <c r="K721" s="18"/>
    </row>
    <row r="722">
      <c r="J722" s="18"/>
      <c r="K722" s="18"/>
    </row>
    <row r="723">
      <c r="J723" s="18"/>
      <c r="K723" s="18"/>
    </row>
    <row r="724">
      <c r="J724" s="18"/>
      <c r="K724" s="18"/>
    </row>
    <row r="725">
      <c r="J725" s="18"/>
      <c r="K725" s="18"/>
    </row>
    <row r="726">
      <c r="J726" s="18"/>
      <c r="K726" s="18"/>
    </row>
    <row r="727">
      <c r="J727" s="18"/>
      <c r="K727" s="18"/>
    </row>
    <row r="728">
      <c r="J728" s="18"/>
      <c r="K728" s="18"/>
    </row>
    <row r="729">
      <c r="J729" s="18"/>
      <c r="K729" s="18"/>
    </row>
    <row r="730">
      <c r="J730" s="18"/>
      <c r="K730" s="18"/>
    </row>
    <row r="731">
      <c r="J731" s="18"/>
      <c r="K731" s="18"/>
    </row>
    <row r="732">
      <c r="J732" s="18"/>
      <c r="K732" s="18"/>
    </row>
    <row r="733">
      <c r="J733" s="18"/>
      <c r="K733" s="18"/>
    </row>
    <row r="734">
      <c r="J734" s="18"/>
      <c r="K734" s="18"/>
    </row>
    <row r="735">
      <c r="J735" s="18"/>
      <c r="K735" s="18"/>
    </row>
    <row r="736">
      <c r="J736" s="18"/>
      <c r="K736" s="18"/>
    </row>
    <row r="737">
      <c r="J737" s="18"/>
      <c r="K737" s="18"/>
    </row>
    <row r="738">
      <c r="J738" s="18"/>
      <c r="K738" s="18"/>
    </row>
    <row r="739">
      <c r="J739" s="18"/>
      <c r="K739" s="18"/>
    </row>
    <row r="740">
      <c r="J740" s="18"/>
      <c r="K740" s="18"/>
    </row>
    <row r="741">
      <c r="J741" s="18"/>
      <c r="K741" s="18"/>
    </row>
    <row r="742">
      <c r="J742" s="18"/>
      <c r="K742" s="18"/>
    </row>
    <row r="743">
      <c r="J743" s="18"/>
      <c r="K743" s="18"/>
    </row>
    <row r="744">
      <c r="J744" s="18"/>
      <c r="K744" s="18"/>
    </row>
    <row r="745">
      <c r="J745" s="18"/>
      <c r="K745" s="18"/>
    </row>
    <row r="746">
      <c r="J746" s="18"/>
      <c r="K746" s="18"/>
    </row>
    <row r="747">
      <c r="J747" s="18"/>
      <c r="K747" s="18"/>
    </row>
    <row r="748">
      <c r="J748" s="18"/>
      <c r="K748" s="18"/>
    </row>
    <row r="749">
      <c r="J749" s="18"/>
      <c r="K749" s="18"/>
    </row>
    <row r="750">
      <c r="J750" s="18"/>
      <c r="K750" s="18"/>
    </row>
    <row r="751">
      <c r="J751" s="18"/>
      <c r="K751" s="18"/>
    </row>
    <row r="752">
      <c r="J752" s="18"/>
      <c r="K752" s="18"/>
    </row>
    <row r="753">
      <c r="J753" s="18"/>
      <c r="K753" s="18"/>
    </row>
    <row r="754">
      <c r="J754" s="18"/>
      <c r="K754" s="18"/>
    </row>
    <row r="755">
      <c r="J755" s="18"/>
      <c r="K755" s="18"/>
    </row>
    <row r="756">
      <c r="J756" s="18"/>
      <c r="K756" s="18"/>
    </row>
    <row r="757">
      <c r="J757" s="18"/>
      <c r="K757" s="18"/>
    </row>
    <row r="758">
      <c r="J758" s="18"/>
      <c r="K758" s="18"/>
    </row>
    <row r="759">
      <c r="J759" s="18"/>
      <c r="K759" s="18"/>
    </row>
    <row r="760">
      <c r="J760" s="18"/>
      <c r="K760" s="18"/>
    </row>
    <row r="761">
      <c r="J761" s="18"/>
      <c r="K761" s="18"/>
    </row>
    <row r="762">
      <c r="J762" s="18"/>
      <c r="K762" s="18"/>
    </row>
    <row r="763">
      <c r="J763" s="18"/>
      <c r="K763" s="18"/>
    </row>
    <row r="764">
      <c r="J764" s="18"/>
      <c r="K764" s="18"/>
    </row>
    <row r="765">
      <c r="J765" s="18"/>
      <c r="K765" s="18"/>
    </row>
    <row r="766">
      <c r="J766" s="18"/>
      <c r="K766" s="18"/>
    </row>
    <row r="767">
      <c r="J767" s="18"/>
      <c r="K767" s="18"/>
    </row>
    <row r="768">
      <c r="J768" s="18"/>
      <c r="K768" s="18"/>
    </row>
    <row r="769">
      <c r="J769" s="18"/>
      <c r="K769" s="18"/>
    </row>
    <row r="770">
      <c r="J770" s="18"/>
      <c r="K770" s="18"/>
    </row>
    <row r="771">
      <c r="J771" s="18"/>
      <c r="K771" s="18"/>
    </row>
    <row r="772">
      <c r="J772" s="18"/>
      <c r="K772" s="18"/>
    </row>
    <row r="773">
      <c r="J773" s="18"/>
      <c r="K773" s="18"/>
    </row>
    <row r="774">
      <c r="J774" s="18"/>
      <c r="K774" s="18"/>
    </row>
    <row r="775">
      <c r="J775" s="18"/>
      <c r="K775" s="18"/>
    </row>
    <row r="776">
      <c r="J776" s="18"/>
      <c r="K776" s="18"/>
    </row>
    <row r="777">
      <c r="J777" s="18"/>
      <c r="K777" s="18"/>
    </row>
    <row r="778">
      <c r="J778" s="18"/>
      <c r="K778" s="18"/>
    </row>
    <row r="779">
      <c r="J779" s="18"/>
      <c r="K779" s="18"/>
    </row>
    <row r="780">
      <c r="J780" s="18"/>
      <c r="K780" s="18"/>
    </row>
    <row r="781">
      <c r="J781" s="18"/>
      <c r="K781" s="18"/>
    </row>
    <row r="782">
      <c r="J782" s="18"/>
      <c r="K782" s="18"/>
    </row>
    <row r="783">
      <c r="J783" s="18"/>
      <c r="K783" s="18"/>
    </row>
    <row r="784">
      <c r="J784" s="18"/>
      <c r="K784" s="18"/>
    </row>
    <row r="785">
      <c r="J785" s="18"/>
      <c r="K785" s="18"/>
    </row>
    <row r="786">
      <c r="J786" s="18"/>
      <c r="K786" s="18"/>
    </row>
    <row r="787">
      <c r="J787" s="18"/>
      <c r="K787" s="18"/>
    </row>
    <row r="788">
      <c r="J788" s="18"/>
      <c r="K788" s="18"/>
    </row>
    <row r="789">
      <c r="J789" s="18"/>
      <c r="K789" s="18"/>
    </row>
    <row r="790">
      <c r="J790" s="18"/>
      <c r="K790" s="18"/>
    </row>
    <row r="791">
      <c r="J791" s="18"/>
      <c r="K791" s="18"/>
    </row>
    <row r="792">
      <c r="J792" s="18"/>
      <c r="K792" s="18"/>
    </row>
    <row r="793">
      <c r="J793" s="18"/>
      <c r="K793" s="18"/>
    </row>
    <row r="794">
      <c r="J794" s="18"/>
      <c r="K794" s="18"/>
    </row>
    <row r="795">
      <c r="J795" s="18"/>
      <c r="K795" s="18"/>
    </row>
    <row r="796">
      <c r="J796" s="18"/>
      <c r="K796" s="18"/>
    </row>
    <row r="797">
      <c r="J797" s="18"/>
      <c r="K797" s="18"/>
    </row>
    <row r="798">
      <c r="J798" s="18"/>
      <c r="K798" s="18"/>
    </row>
    <row r="799">
      <c r="J799" s="18"/>
      <c r="K799" s="18"/>
    </row>
    <row r="800">
      <c r="J800" s="18"/>
      <c r="K800" s="18"/>
    </row>
    <row r="801">
      <c r="J801" s="18"/>
      <c r="K801" s="18"/>
    </row>
    <row r="802">
      <c r="J802" s="18"/>
      <c r="K802" s="18"/>
    </row>
    <row r="803">
      <c r="J803" s="18"/>
      <c r="K803" s="18"/>
    </row>
    <row r="804">
      <c r="J804" s="18"/>
      <c r="K804" s="18"/>
    </row>
    <row r="805">
      <c r="J805" s="18"/>
      <c r="K805" s="18"/>
    </row>
    <row r="806">
      <c r="J806" s="18"/>
      <c r="K806" s="18"/>
    </row>
    <row r="807">
      <c r="J807" s="18"/>
      <c r="K807" s="18"/>
    </row>
    <row r="808">
      <c r="J808" s="18"/>
      <c r="K808" s="18"/>
    </row>
    <row r="809">
      <c r="J809" s="18"/>
      <c r="K809" s="18"/>
    </row>
    <row r="810">
      <c r="J810" s="18"/>
      <c r="K810" s="18"/>
    </row>
    <row r="811">
      <c r="J811" s="18"/>
      <c r="K811" s="18"/>
    </row>
    <row r="812">
      <c r="J812" s="18"/>
      <c r="K812" s="18"/>
    </row>
    <row r="813">
      <c r="J813" s="18"/>
      <c r="K813" s="18"/>
    </row>
    <row r="814">
      <c r="J814" s="18"/>
      <c r="K814" s="18"/>
    </row>
    <row r="815">
      <c r="J815" s="18"/>
      <c r="K815" s="18"/>
    </row>
    <row r="816">
      <c r="J816" s="18"/>
      <c r="K816" s="18"/>
    </row>
    <row r="817">
      <c r="J817" s="18"/>
      <c r="K817" s="18"/>
    </row>
    <row r="818">
      <c r="J818" s="18"/>
      <c r="K818" s="18"/>
    </row>
    <row r="819">
      <c r="J819" s="18"/>
      <c r="K819" s="18"/>
    </row>
    <row r="820">
      <c r="J820" s="18"/>
      <c r="K820" s="18"/>
    </row>
    <row r="821">
      <c r="J821" s="18"/>
      <c r="K821" s="18"/>
    </row>
    <row r="822">
      <c r="J822" s="18"/>
      <c r="K822" s="18"/>
    </row>
    <row r="823">
      <c r="J823" s="18"/>
      <c r="K823" s="18"/>
    </row>
    <row r="824">
      <c r="J824" s="18"/>
      <c r="K824" s="18"/>
    </row>
    <row r="825">
      <c r="J825" s="18"/>
      <c r="K825" s="18"/>
    </row>
    <row r="826">
      <c r="J826" s="18"/>
      <c r="K826" s="18"/>
    </row>
    <row r="827">
      <c r="J827" s="18"/>
      <c r="K827" s="18"/>
    </row>
    <row r="828">
      <c r="J828" s="18"/>
      <c r="K828" s="18"/>
    </row>
    <row r="829">
      <c r="J829" s="18"/>
      <c r="K829" s="18"/>
    </row>
    <row r="830">
      <c r="J830" s="18"/>
      <c r="K830" s="18"/>
    </row>
    <row r="831">
      <c r="J831" s="18"/>
      <c r="K831" s="18"/>
    </row>
    <row r="832">
      <c r="J832" s="18"/>
      <c r="K832" s="18"/>
    </row>
    <row r="833">
      <c r="J833" s="18"/>
      <c r="K833" s="18"/>
    </row>
    <row r="834">
      <c r="J834" s="18"/>
      <c r="K834" s="18"/>
    </row>
    <row r="835">
      <c r="J835" s="18"/>
      <c r="K835" s="18"/>
    </row>
    <row r="836">
      <c r="J836" s="18"/>
      <c r="K836" s="18"/>
    </row>
    <row r="837">
      <c r="J837" s="18"/>
      <c r="K837" s="18"/>
    </row>
    <row r="838">
      <c r="J838" s="18"/>
      <c r="K838" s="18"/>
    </row>
    <row r="839">
      <c r="J839" s="18"/>
      <c r="K839" s="18"/>
    </row>
    <row r="840">
      <c r="J840" s="18"/>
      <c r="K840" s="18"/>
    </row>
    <row r="841">
      <c r="J841" s="18"/>
      <c r="K841" s="18"/>
    </row>
    <row r="842">
      <c r="J842" s="18"/>
      <c r="K842" s="18"/>
    </row>
    <row r="843">
      <c r="J843" s="18"/>
      <c r="K843" s="18"/>
    </row>
    <row r="844">
      <c r="J844" s="18"/>
      <c r="K844" s="18"/>
    </row>
    <row r="845">
      <c r="J845" s="18"/>
      <c r="K845" s="18"/>
    </row>
    <row r="846">
      <c r="J846" s="18"/>
      <c r="K846" s="18"/>
    </row>
    <row r="847">
      <c r="J847" s="18"/>
      <c r="K847" s="18"/>
    </row>
    <row r="848">
      <c r="J848" s="18"/>
      <c r="K848" s="18"/>
    </row>
    <row r="849">
      <c r="J849" s="18"/>
      <c r="K849" s="18"/>
    </row>
    <row r="850">
      <c r="J850" s="18"/>
      <c r="K850" s="18"/>
    </row>
    <row r="851">
      <c r="J851" s="18"/>
      <c r="K851" s="18"/>
    </row>
    <row r="852">
      <c r="J852" s="18"/>
      <c r="K852" s="18"/>
    </row>
    <row r="853">
      <c r="J853" s="18"/>
      <c r="K853" s="18"/>
    </row>
    <row r="854">
      <c r="J854" s="18"/>
      <c r="K854" s="18"/>
    </row>
    <row r="855">
      <c r="J855" s="18"/>
      <c r="K855" s="18"/>
    </row>
    <row r="856">
      <c r="J856" s="18"/>
      <c r="K856" s="18"/>
    </row>
    <row r="857">
      <c r="J857" s="18"/>
      <c r="K857" s="18"/>
    </row>
    <row r="858">
      <c r="J858" s="18"/>
      <c r="K858" s="18"/>
    </row>
    <row r="859">
      <c r="J859" s="18"/>
      <c r="K859" s="18"/>
    </row>
    <row r="860">
      <c r="J860" s="18"/>
      <c r="K860" s="18"/>
    </row>
    <row r="861">
      <c r="J861" s="18"/>
      <c r="K861" s="18"/>
    </row>
    <row r="862">
      <c r="J862" s="18"/>
      <c r="K862" s="18"/>
    </row>
    <row r="863">
      <c r="J863" s="18"/>
      <c r="K863" s="18"/>
    </row>
    <row r="864">
      <c r="J864" s="18"/>
      <c r="K864" s="18"/>
    </row>
    <row r="865">
      <c r="J865" s="18"/>
      <c r="K865" s="18"/>
    </row>
    <row r="866">
      <c r="J866" s="18"/>
      <c r="K866" s="18"/>
    </row>
    <row r="867">
      <c r="J867" s="18"/>
      <c r="K867" s="18"/>
    </row>
    <row r="868">
      <c r="J868" s="18"/>
      <c r="K868" s="18"/>
    </row>
    <row r="869">
      <c r="J869" s="18"/>
      <c r="K869" s="18"/>
    </row>
    <row r="870">
      <c r="J870" s="18"/>
      <c r="K870" s="18"/>
    </row>
    <row r="871">
      <c r="J871" s="18"/>
      <c r="K871" s="18"/>
    </row>
    <row r="872">
      <c r="J872" s="18"/>
      <c r="K872" s="18"/>
    </row>
    <row r="873">
      <c r="J873" s="18"/>
      <c r="K873" s="18"/>
    </row>
    <row r="874">
      <c r="J874" s="18"/>
      <c r="K874" s="18"/>
    </row>
    <row r="875">
      <c r="J875" s="18"/>
      <c r="K875" s="18"/>
    </row>
    <row r="876">
      <c r="J876" s="18"/>
      <c r="K876" s="18"/>
    </row>
    <row r="877">
      <c r="J877" s="18"/>
      <c r="K877" s="18"/>
    </row>
    <row r="878">
      <c r="J878" s="18"/>
      <c r="K878" s="18"/>
    </row>
    <row r="879">
      <c r="J879" s="18"/>
      <c r="K879" s="18"/>
    </row>
    <row r="880">
      <c r="J880" s="18"/>
      <c r="K880" s="18"/>
    </row>
    <row r="881">
      <c r="J881" s="18"/>
      <c r="K881" s="18"/>
    </row>
    <row r="882">
      <c r="J882" s="18"/>
      <c r="K882" s="18"/>
    </row>
    <row r="883">
      <c r="J883" s="18"/>
      <c r="K883" s="18"/>
    </row>
    <row r="884">
      <c r="J884" s="18"/>
      <c r="K884" s="18"/>
    </row>
    <row r="885">
      <c r="J885" s="18"/>
      <c r="K885" s="18"/>
    </row>
    <row r="886">
      <c r="J886" s="18"/>
      <c r="K886" s="18"/>
    </row>
    <row r="887">
      <c r="J887" s="18"/>
      <c r="K887" s="18"/>
    </row>
    <row r="888">
      <c r="J888" s="18"/>
      <c r="K888" s="18"/>
    </row>
    <row r="889">
      <c r="J889" s="18"/>
      <c r="K889" s="18"/>
    </row>
    <row r="890">
      <c r="J890" s="18"/>
      <c r="K890" s="18"/>
    </row>
    <row r="891">
      <c r="J891" s="18"/>
      <c r="K891" s="18"/>
    </row>
    <row r="892">
      <c r="J892" s="18"/>
      <c r="K892" s="18"/>
    </row>
    <row r="893">
      <c r="J893" s="18"/>
      <c r="K893" s="18"/>
    </row>
    <row r="894">
      <c r="J894" s="18"/>
      <c r="K894" s="18"/>
    </row>
    <row r="895">
      <c r="J895" s="18"/>
      <c r="K895" s="18"/>
    </row>
    <row r="896">
      <c r="J896" s="18"/>
      <c r="K896" s="18"/>
    </row>
    <row r="897">
      <c r="J897" s="18"/>
      <c r="K897" s="18"/>
    </row>
    <row r="898">
      <c r="J898" s="18"/>
      <c r="K898" s="18"/>
    </row>
    <row r="899">
      <c r="J899" s="18"/>
      <c r="K899" s="18"/>
    </row>
    <row r="900">
      <c r="J900" s="18"/>
      <c r="K900" s="18"/>
    </row>
    <row r="901">
      <c r="J901" s="18"/>
      <c r="K901" s="18"/>
    </row>
    <row r="902">
      <c r="J902" s="18"/>
      <c r="K902" s="18"/>
    </row>
    <row r="903">
      <c r="J903" s="18"/>
      <c r="K903" s="18"/>
    </row>
    <row r="904">
      <c r="J904" s="18"/>
      <c r="K904" s="18"/>
    </row>
    <row r="905">
      <c r="J905" s="18"/>
      <c r="K905" s="18"/>
    </row>
    <row r="906">
      <c r="J906" s="18"/>
      <c r="K906" s="18"/>
    </row>
    <row r="907">
      <c r="J907" s="18"/>
      <c r="K907" s="18"/>
    </row>
    <row r="908">
      <c r="J908" s="18"/>
      <c r="K908" s="18"/>
    </row>
    <row r="909">
      <c r="J909" s="18"/>
      <c r="K909" s="18"/>
    </row>
    <row r="910">
      <c r="J910" s="18"/>
      <c r="K910" s="18"/>
    </row>
    <row r="911">
      <c r="J911" s="18"/>
      <c r="K911" s="18"/>
    </row>
    <row r="912">
      <c r="J912" s="18"/>
      <c r="K912" s="18"/>
    </row>
    <row r="913">
      <c r="J913" s="18"/>
      <c r="K913" s="18"/>
    </row>
    <row r="914">
      <c r="J914" s="18"/>
      <c r="K914" s="18"/>
    </row>
    <row r="915">
      <c r="J915" s="18"/>
      <c r="K915" s="18"/>
    </row>
    <row r="916">
      <c r="J916" s="18"/>
      <c r="K916" s="18"/>
    </row>
    <row r="917">
      <c r="J917" s="18"/>
      <c r="K917" s="18"/>
    </row>
    <row r="918">
      <c r="J918" s="18"/>
      <c r="K918" s="18"/>
    </row>
    <row r="919">
      <c r="J919" s="18"/>
      <c r="K919" s="18"/>
    </row>
    <row r="920">
      <c r="J920" s="18"/>
      <c r="K920" s="18"/>
    </row>
    <row r="921">
      <c r="J921" s="18"/>
      <c r="K921" s="18"/>
    </row>
    <row r="922">
      <c r="J922" s="18"/>
      <c r="K922" s="18"/>
    </row>
    <row r="923">
      <c r="J923" s="18"/>
      <c r="K923" s="18"/>
    </row>
    <row r="924">
      <c r="J924" s="18"/>
      <c r="K924" s="18"/>
    </row>
    <row r="925">
      <c r="J925" s="18"/>
      <c r="K925" s="18"/>
    </row>
    <row r="926">
      <c r="J926" s="18"/>
      <c r="K926" s="18"/>
    </row>
    <row r="927">
      <c r="J927" s="18"/>
      <c r="K927" s="18"/>
    </row>
    <row r="928">
      <c r="J928" s="18"/>
      <c r="K928" s="18"/>
    </row>
    <row r="929">
      <c r="J929" s="18"/>
      <c r="K929" s="18"/>
    </row>
    <row r="930">
      <c r="J930" s="18"/>
      <c r="K930" s="18"/>
    </row>
    <row r="931">
      <c r="J931" s="18"/>
      <c r="K931" s="18"/>
    </row>
    <row r="932">
      <c r="J932" s="18"/>
      <c r="K932" s="18"/>
    </row>
    <row r="933">
      <c r="J933" s="18"/>
      <c r="K933" s="18"/>
    </row>
    <row r="934">
      <c r="J934" s="18"/>
      <c r="K934" s="18"/>
    </row>
    <row r="935">
      <c r="J935" s="18"/>
      <c r="K935" s="18"/>
    </row>
    <row r="936">
      <c r="J936" s="18"/>
      <c r="K936" s="18"/>
    </row>
    <row r="937">
      <c r="J937" s="18"/>
      <c r="K937" s="18"/>
    </row>
    <row r="938">
      <c r="J938" s="18"/>
      <c r="K938" s="18"/>
    </row>
    <row r="939">
      <c r="J939" s="18"/>
      <c r="K939" s="18"/>
    </row>
    <row r="940">
      <c r="J940" s="18"/>
      <c r="K940" s="18"/>
    </row>
    <row r="941">
      <c r="J941" s="18"/>
      <c r="K941" s="18"/>
    </row>
    <row r="942">
      <c r="J942" s="18"/>
      <c r="K942" s="18"/>
    </row>
    <row r="943">
      <c r="J943" s="18"/>
      <c r="K943" s="18"/>
    </row>
    <row r="944">
      <c r="J944" s="18"/>
      <c r="K944" s="18"/>
    </row>
    <row r="945">
      <c r="J945" s="18"/>
      <c r="K945" s="18"/>
    </row>
    <row r="946">
      <c r="J946" s="18"/>
      <c r="K946" s="18"/>
    </row>
    <row r="947">
      <c r="J947" s="18"/>
      <c r="K947" s="18"/>
    </row>
    <row r="948">
      <c r="J948" s="18"/>
      <c r="K948" s="18"/>
    </row>
    <row r="949">
      <c r="J949" s="18"/>
      <c r="K949" s="18"/>
    </row>
    <row r="950">
      <c r="J950" s="18"/>
      <c r="K950" s="18"/>
    </row>
    <row r="951">
      <c r="J951" s="18"/>
      <c r="K951" s="18"/>
    </row>
    <row r="952">
      <c r="J952" s="18"/>
      <c r="K952" s="18"/>
    </row>
    <row r="953">
      <c r="J953" s="18"/>
      <c r="K953" s="18"/>
    </row>
    <row r="954">
      <c r="J954" s="18"/>
      <c r="K954" s="18"/>
    </row>
    <row r="955">
      <c r="J955" s="18"/>
      <c r="K955" s="18"/>
    </row>
    <row r="956">
      <c r="J956" s="18"/>
      <c r="K956" s="18"/>
    </row>
    <row r="957">
      <c r="J957" s="18"/>
      <c r="K957" s="18"/>
    </row>
    <row r="958">
      <c r="J958" s="18"/>
      <c r="K958" s="18"/>
    </row>
    <row r="959">
      <c r="J959" s="18"/>
      <c r="K959" s="18"/>
    </row>
    <row r="960">
      <c r="J960" s="18"/>
      <c r="K960" s="18"/>
    </row>
    <row r="961">
      <c r="J961" s="18"/>
      <c r="K961" s="18"/>
    </row>
    <row r="962">
      <c r="J962" s="18"/>
      <c r="K962" s="18"/>
    </row>
    <row r="963">
      <c r="J963" s="18"/>
      <c r="K963" s="18"/>
    </row>
    <row r="964">
      <c r="J964" s="18"/>
      <c r="K964" s="18"/>
    </row>
    <row r="965">
      <c r="J965" s="18"/>
      <c r="K965" s="18"/>
    </row>
    <row r="966">
      <c r="J966" s="18"/>
      <c r="K966" s="18"/>
    </row>
    <row r="967">
      <c r="J967" s="18"/>
      <c r="K967" s="18"/>
    </row>
    <row r="968">
      <c r="J968" s="18"/>
      <c r="K968" s="18"/>
    </row>
    <row r="969">
      <c r="J969" s="18"/>
      <c r="K969" s="18"/>
    </row>
    <row r="970">
      <c r="J970" s="18"/>
      <c r="K970" s="18"/>
    </row>
    <row r="971">
      <c r="J971" s="18"/>
      <c r="K971" s="18"/>
    </row>
    <row r="972">
      <c r="J972" s="18"/>
      <c r="K972" s="18"/>
    </row>
    <row r="973">
      <c r="J973" s="18"/>
      <c r="K973" s="18"/>
    </row>
    <row r="974">
      <c r="J974" s="18"/>
      <c r="K974" s="18"/>
    </row>
    <row r="975">
      <c r="J975" s="18"/>
      <c r="K975" s="18"/>
    </row>
    <row r="976">
      <c r="J976" s="18"/>
      <c r="K976" s="18"/>
    </row>
    <row r="977">
      <c r="J977" s="18"/>
      <c r="K977" s="18"/>
    </row>
    <row r="978">
      <c r="J978" s="18"/>
      <c r="K978" s="18"/>
    </row>
    <row r="979">
      <c r="J979" s="18"/>
      <c r="K979" s="18"/>
    </row>
    <row r="980">
      <c r="J980" s="18"/>
      <c r="K980" s="18"/>
    </row>
    <row r="981">
      <c r="J981" s="18"/>
      <c r="K981" s="18"/>
    </row>
    <row r="982">
      <c r="J982" s="18"/>
      <c r="K982" s="18"/>
    </row>
    <row r="983">
      <c r="J983" s="18"/>
      <c r="K983" s="18"/>
    </row>
    <row r="984">
      <c r="J984" s="18"/>
      <c r="K984" s="18"/>
    </row>
    <row r="985">
      <c r="J985" s="18"/>
      <c r="K985" s="18"/>
    </row>
    <row r="986">
      <c r="J986" s="18"/>
      <c r="K986" s="18"/>
    </row>
    <row r="987">
      <c r="J987" s="18"/>
      <c r="K987" s="18"/>
    </row>
    <row r="988">
      <c r="J988" s="18"/>
      <c r="K988" s="18"/>
    </row>
    <row r="989">
      <c r="J989" s="18"/>
      <c r="K989" s="18"/>
    </row>
    <row r="990">
      <c r="J990" s="18"/>
      <c r="K990" s="18"/>
    </row>
    <row r="991">
      <c r="J991" s="18"/>
      <c r="K991" s="18"/>
    </row>
    <row r="992">
      <c r="J992" s="18"/>
      <c r="K992" s="18"/>
    </row>
    <row r="993">
      <c r="J993" s="18"/>
      <c r="K993" s="18"/>
    </row>
    <row r="994">
      <c r="J994" s="18"/>
      <c r="K994" s="18"/>
    </row>
    <row r="995">
      <c r="J995" s="18"/>
      <c r="K995" s="18"/>
    </row>
    <row r="996">
      <c r="J996" s="18"/>
      <c r="K996" s="18"/>
    </row>
    <row r="997">
      <c r="J997" s="18"/>
      <c r="K997" s="18"/>
    </row>
    <row r="998">
      <c r="J998" s="18"/>
      <c r="K998" s="18"/>
    </row>
    <row r="999">
      <c r="J999" s="18"/>
      <c r="K999" s="18"/>
    </row>
    <row r="1000">
      <c r="J1000" s="18"/>
      <c r="K1000" s="18"/>
    </row>
    <row r="1001">
      <c r="J1001" s="18"/>
      <c r="K1001" s="18"/>
    </row>
    <row r="1002">
      <c r="J1002" s="18"/>
      <c r="K1002" s="18"/>
    </row>
    <row r="1003">
      <c r="J1003" s="18"/>
      <c r="K1003" s="18"/>
    </row>
    <row r="1004">
      <c r="J1004" s="18"/>
      <c r="K1004" s="18"/>
    </row>
    <row r="1005">
      <c r="J1005" s="18"/>
      <c r="K1005" s="18"/>
    </row>
    <row r="1006">
      <c r="J1006" s="18"/>
      <c r="K1006" s="18"/>
    </row>
    <row r="1007">
      <c r="J1007" s="18"/>
      <c r="K1007" s="18"/>
    </row>
    <row r="1008">
      <c r="J1008" s="18"/>
      <c r="K1008" s="18"/>
    </row>
    <row r="1009">
      <c r="J1009" s="18"/>
      <c r="K1009" s="18"/>
    </row>
    <row r="1010">
      <c r="J1010" s="18"/>
      <c r="K1010" s="18"/>
    </row>
    <row r="1011">
      <c r="J1011" s="18"/>
      <c r="K1011" s="18"/>
    </row>
    <row r="1012">
      <c r="J1012" s="18"/>
      <c r="K1012" s="18"/>
    </row>
    <row r="1013">
      <c r="J1013" s="18"/>
      <c r="K1013" s="18"/>
    </row>
    <row r="1014">
      <c r="J1014" s="18"/>
      <c r="K1014" s="18"/>
    </row>
    <row r="1015">
      <c r="J1015" s="18"/>
      <c r="K1015" s="18"/>
    </row>
    <row r="1016">
      <c r="J1016" s="18"/>
      <c r="K1016" s="18"/>
    </row>
    <row r="1017">
      <c r="J1017" s="18"/>
      <c r="K1017" s="18"/>
    </row>
    <row r="1018">
      <c r="J1018" s="18"/>
      <c r="K1018" s="18"/>
    </row>
    <row r="1019">
      <c r="J1019" s="18"/>
      <c r="K1019" s="18"/>
    </row>
    <row r="1020">
      <c r="J1020" s="18"/>
      <c r="K1020" s="18"/>
    </row>
    <row r="1021">
      <c r="J1021" s="18"/>
      <c r="K1021" s="18"/>
    </row>
    <row r="1022">
      <c r="J1022" s="18"/>
      <c r="K1022" s="18"/>
    </row>
    <row r="1023">
      <c r="J1023" s="18"/>
      <c r="K1023" s="18"/>
    </row>
    <row r="1024">
      <c r="J1024" s="18"/>
      <c r="K1024" s="18"/>
    </row>
    <row r="1025">
      <c r="J1025" s="18"/>
      <c r="K1025" s="18"/>
    </row>
    <row r="1026">
      <c r="J1026" s="18"/>
      <c r="K1026" s="18"/>
    </row>
    <row r="1027">
      <c r="J1027" s="18"/>
      <c r="K1027" s="18"/>
    </row>
    <row r="1028">
      <c r="J1028" s="18"/>
      <c r="K1028" s="18"/>
    </row>
    <row r="1029">
      <c r="J1029" s="18"/>
      <c r="K1029" s="18"/>
    </row>
    <row r="1030">
      <c r="J1030" s="18"/>
      <c r="K1030" s="18"/>
    </row>
    <row r="1031">
      <c r="J1031" s="18"/>
      <c r="K1031" s="18"/>
    </row>
    <row r="1032">
      <c r="J1032" s="18"/>
      <c r="K1032" s="18"/>
    </row>
    <row r="1033">
      <c r="J1033" s="18"/>
      <c r="K1033" s="18"/>
    </row>
    <row r="1034">
      <c r="J1034" s="18"/>
      <c r="K1034" s="18"/>
    </row>
    <row r="1035">
      <c r="J1035" s="18"/>
      <c r="K1035" s="18"/>
    </row>
    <row r="1036">
      <c r="J1036" s="18"/>
      <c r="K1036" s="18"/>
    </row>
    <row r="1037">
      <c r="J1037" s="18"/>
      <c r="K1037" s="18"/>
    </row>
    <row r="1038">
      <c r="J1038" s="18"/>
      <c r="K1038" s="18"/>
    </row>
    <row r="1039">
      <c r="J1039" s="18"/>
      <c r="K1039" s="18"/>
    </row>
    <row r="1040">
      <c r="J1040" s="18"/>
      <c r="K1040" s="18"/>
    </row>
    <row r="1041">
      <c r="J1041" s="18"/>
      <c r="K1041" s="18"/>
    </row>
    <row r="1042">
      <c r="J1042" s="18"/>
      <c r="K1042" s="18"/>
    </row>
    <row r="1043">
      <c r="J1043" s="18"/>
      <c r="K1043" s="18"/>
    </row>
    <row r="1044">
      <c r="J1044" s="18"/>
      <c r="K1044" s="18"/>
    </row>
    <row r="1045">
      <c r="J1045" s="18"/>
      <c r="K1045" s="18"/>
    </row>
    <row r="1046">
      <c r="J1046" s="18"/>
      <c r="K1046" s="18"/>
    </row>
    <row r="1047">
      <c r="J1047" s="18"/>
      <c r="K1047" s="18"/>
    </row>
    <row r="1048">
      <c r="J1048" s="18"/>
      <c r="K1048" s="18"/>
    </row>
    <row r="1049">
      <c r="J1049" s="18"/>
      <c r="K1049" s="18"/>
    </row>
    <row r="1050">
      <c r="J1050" s="18"/>
      <c r="K1050" s="18"/>
    </row>
    <row r="1051">
      <c r="J1051" s="18"/>
      <c r="K1051" s="18"/>
    </row>
    <row r="1052">
      <c r="J1052" s="18"/>
      <c r="K1052" s="18"/>
    </row>
    <row r="1053">
      <c r="J1053" s="18"/>
      <c r="K1053" s="18"/>
    </row>
    <row r="1054">
      <c r="J1054" s="18"/>
      <c r="K1054" s="18"/>
    </row>
    <row r="1055">
      <c r="J1055" s="18"/>
      <c r="K1055" s="18"/>
    </row>
    <row r="1056">
      <c r="J1056" s="18"/>
      <c r="K1056" s="18"/>
    </row>
    <row r="1057">
      <c r="J1057" s="18"/>
      <c r="K1057" s="18"/>
    </row>
    <row r="1058">
      <c r="J1058" s="18"/>
      <c r="K1058" s="18"/>
    </row>
    <row r="1059">
      <c r="J1059" s="18"/>
      <c r="K1059" s="18"/>
    </row>
    <row r="1060">
      <c r="J1060" s="18"/>
      <c r="K1060" s="18"/>
    </row>
    <row r="1061">
      <c r="J1061" s="18"/>
      <c r="K1061" s="18"/>
    </row>
    <row r="1062">
      <c r="J1062" s="18"/>
      <c r="K1062" s="18"/>
    </row>
    <row r="1063">
      <c r="J1063" s="18"/>
      <c r="K1063" s="18"/>
    </row>
    <row r="1064">
      <c r="J1064" s="18"/>
      <c r="K1064" s="18"/>
    </row>
    <row r="1065">
      <c r="J1065" s="18"/>
      <c r="K1065" s="18"/>
    </row>
    <row r="1066">
      <c r="J1066" s="18"/>
      <c r="K1066" s="18"/>
    </row>
    <row r="1067">
      <c r="J1067" s="18"/>
      <c r="K1067" s="18"/>
    </row>
    <row r="1068">
      <c r="J1068" s="18"/>
      <c r="K1068" s="18"/>
    </row>
    <row r="1069">
      <c r="J1069" s="18"/>
      <c r="K1069" s="18"/>
    </row>
    <row r="1070">
      <c r="J1070" s="18"/>
      <c r="K1070" s="18"/>
    </row>
    <row r="1071">
      <c r="J1071" s="18"/>
      <c r="K1071" s="18"/>
    </row>
    <row r="1072">
      <c r="J1072" s="18"/>
      <c r="K1072" s="18"/>
    </row>
    <row r="1073">
      <c r="J1073" s="18"/>
      <c r="K1073" s="18"/>
    </row>
    <row r="1074">
      <c r="J1074" s="18"/>
      <c r="K1074" s="18"/>
    </row>
    <row r="1075">
      <c r="J1075" s="18"/>
      <c r="K1075" s="18"/>
    </row>
    <row r="1076">
      <c r="J1076" s="18"/>
      <c r="K1076" s="18"/>
    </row>
    <row r="1077">
      <c r="J1077" s="18"/>
      <c r="K1077" s="18"/>
    </row>
    <row r="1078">
      <c r="J1078" s="18"/>
      <c r="K1078" s="18"/>
    </row>
    <row r="1079">
      <c r="J1079" s="18"/>
      <c r="K1079" s="18"/>
    </row>
    <row r="1080">
      <c r="J1080" s="18"/>
      <c r="K1080" s="18"/>
    </row>
    <row r="1081">
      <c r="J1081" s="18"/>
      <c r="K1081" s="18"/>
    </row>
    <row r="1082">
      <c r="J1082" s="18"/>
      <c r="K1082" s="18"/>
    </row>
    <row r="1083">
      <c r="J1083" s="18"/>
      <c r="K1083" s="18"/>
    </row>
    <row r="1084">
      <c r="J1084" s="18"/>
      <c r="K1084" s="18"/>
    </row>
    <row r="1085">
      <c r="J1085" s="18"/>
      <c r="K1085" s="18"/>
    </row>
    <row r="1086">
      <c r="J1086" s="18"/>
      <c r="K1086" s="18"/>
    </row>
    <row r="1087">
      <c r="J1087" s="18"/>
      <c r="K1087" s="18"/>
    </row>
    <row r="1088">
      <c r="J1088" s="18"/>
      <c r="K1088" s="18"/>
    </row>
    <row r="1089">
      <c r="J1089" s="18"/>
      <c r="K1089" s="18"/>
    </row>
    <row r="1090">
      <c r="J1090" s="18"/>
      <c r="K1090" s="18"/>
    </row>
    <row r="1091">
      <c r="J1091" s="18"/>
      <c r="K1091" s="18"/>
    </row>
    <row r="1092">
      <c r="J1092" s="18"/>
      <c r="K1092" s="18"/>
    </row>
    <row r="1093">
      <c r="J1093" s="18"/>
      <c r="K1093" s="18"/>
    </row>
    <row r="1094">
      <c r="J1094" s="18"/>
      <c r="K1094" s="18"/>
    </row>
    <row r="1095">
      <c r="J1095" s="18"/>
      <c r="K1095" s="18"/>
    </row>
    <row r="1096">
      <c r="J1096" s="18"/>
      <c r="K1096" s="18"/>
    </row>
    <row r="1097">
      <c r="J1097" s="18"/>
      <c r="K1097" s="18"/>
    </row>
    <row r="1098">
      <c r="J1098" s="18"/>
      <c r="K1098" s="18"/>
    </row>
    <row r="1099">
      <c r="J1099" s="18"/>
      <c r="K1099" s="18"/>
    </row>
    <row r="1100">
      <c r="J1100" s="18"/>
      <c r="K1100" s="18"/>
    </row>
    <row r="1101">
      <c r="J1101" s="18"/>
      <c r="K1101" s="18"/>
    </row>
    <row r="1102">
      <c r="J1102" s="18"/>
      <c r="K1102" s="18"/>
    </row>
    <row r="1103">
      <c r="J1103" s="18"/>
      <c r="K1103" s="18"/>
    </row>
    <row r="1104">
      <c r="J1104" s="18"/>
      <c r="K1104" s="18"/>
    </row>
    <row r="1105">
      <c r="J1105" s="18"/>
      <c r="K1105" s="18"/>
    </row>
    <row r="1106">
      <c r="J1106" s="18"/>
      <c r="K1106" s="18"/>
    </row>
    <row r="1107">
      <c r="J1107" s="18"/>
      <c r="K1107" s="18"/>
    </row>
    <row r="1108">
      <c r="J1108" s="18"/>
      <c r="K1108" s="18"/>
    </row>
    <row r="1109">
      <c r="J1109" s="18"/>
      <c r="K1109" s="18"/>
    </row>
    <row r="1110">
      <c r="J1110" s="18"/>
      <c r="K1110" s="18"/>
    </row>
    <row r="1111">
      <c r="J1111" s="18"/>
      <c r="K1111" s="18"/>
    </row>
    <row r="1112">
      <c r="J1112" s="18"/>
      <c r="K1112" s="18"/>
    </row>
    <row r="1113">
      <c r="J1113" s="18"/>
      <c r="K1113" s="18"/>
    </row>
    <row r="1114">
      <c r="J1114" s="18"/>
      <c r="K1114" s="18"/>
    </row>
    <row r="1115">
      <c r="J1115" s="18"/>
      <c r="K1115" s="18"/>
    </row>
    <row r="1116">
      <c r="J1116" s="18"/>
      <c r="K1116" s="18"/>
    </row>
    <row r="1117">
      <c r="J1117" s="18"/>
      <c r="K1117" s="18"/>
    </row>
    <row r="1118">
      <c r="J1118" s="18"/>
      <c r="K1118" s="18"/>
    </row>
    <row r="1119">
      <c r="J1119" s="18"/>
      <c r="K1119" s="18"/>
    </row>
    <row r="1120">
      <c r="J1120" s="18"/>
      <c r="K1120" s="18"/>
    </row>
    <row r="1121">
      <c r="J1121" s="18"/>
      <c r="K1121" s="18"/>
    </row>
    <row r="1122">
      <c r="J1122" s="18"/>
      <c r="K1122" s="18"/>
    </row>
    <row r="1123">
      <c r="J1123" s="18"/>
      <c r="K1123" s="18"/>
    </row>
    <row r="1124">
      <c r="J1124" s="18"/>
      <c r="K1124" s="18"/>
    </row>
    <row r="1125">
      <c r="J1125" s="18"/>
      <c r="K1125" s="18"/>
    </row>
    <row r="1126">
      <c r="J1126" s="18"/>
      <c r="K1126" s="18"/>
    </row>
    <row r="1127">
      <c r="J1127" s="18"/>
      <c r="K1127" s="18"/>
    </row>
    <row r="1128">
      <c r="J1128" s="18"/>
      <c r="K1128" s="18"/>
    </row>
    <row r="1129">
      <c r="J1129" s="18"/>
      <c r="K1129" s="18"/>
    </row>
    <row r="1130">
      <c r="J1130" s="18"/>
      <c r="K1130" s="18"/>
    </row>
    <row r="1131">
      <c r="J1131" s="18"/>
      <c r="K1131" s="18"/>
    </row>
    <row r="1132">
      <c r="J1132" s="18"/>
      <c r="K1132" s="18"/>
    </row>
    <row r="1133">
      <c r="J1133" s="18"/>
      <c r="K1133" s="18"/>
    </row>
    <row r="1134">
      <c r="J1134" s="18"/>
      <c r="K1134" s="18"/>
    </row>
    <row r="1135">
      <c r="J1135" s="18"/>
      <c r="K1135" s="18"/>
    </row>
    <row r="1136">
      <c r="J1136" s="18"/>
      <c r="K1136" s="18"/>
    </row>
    <row r="1137">
      <c r="J1137" s="18"/>
      <c r="K1137" s="18"/>
    </row>
    <row r="1138">
      <c r="J1138" s="18"/>
      <c r="K1138" s="18"/>
    </row>
    <row r="1139">
      <c r="J1139" s="18"/>
      <c r="K1139" s="18"/>
    </row>
    <row r="1140">
      <c r="J1140" s="18"/>
      <c r="K1140" s="18"/>
    </row>
    <row r="1141">
      <c r="J1141" s="18"/>
      <c r="K1141" s="18"/>
    </row>
    <row r="1142">
      <c r="J1142" s="18"/>
      <c r="K1142" s="18"/>
    </row>
    <row r="1143">
      <c r="J1143" s="18"/>
      <c r="K1143" s="18"/>
    </row>
    <row r="1144">
      <c r="J1144" s="18"/>
      <c r="K1144" s="18"/>
    </row>
    <row r="1145">
      <c r="J1145" s="18"/>
      <c r="K1145" s="18"/>
    </row>
    <row r="1146">
      <c r="J1146" s="18"/>
      <c r="K1146" s="18"/>
    </row>
    <row r="1147">
      <c r="J1147" s="18"/>
      <c r="K1147" s="18"/>
    </row>
    <row r="1148">
      <c r="J1148" s="18"/>
      <c r="K1148" s="18"/>
    </row>
    <row r="1149">
      <c r="J1149" s="18"/>
      <c r="K1149" s="18"/>
    </row>
    <row r="1150">
      <c r="J1150" s="18"/>
      <c r="K1150" s="18"/>
    </row>
    <row r="1151">
      <c r="J1151" s="18"/>
      <c r="K1151" s="18"/>
    </row>
    <row r="1152">
      <c r="J1152" s="18"/>
      <c r="K1152" s="18"/>
    </row>
    <row r="1153">
      <c r="J1153" s="18"/>
      <c r="K1153" s="18"/>
    </row>
    <row r="1154">
      <c r="J1154" s="18"/>
      <c r="K1154" s="18"/>
    </row>
    <row r="1155">
      <c r="J1155" s="18"/>
      <c r="K1155" s="18"/>
    </row>
    <row r="1156">
      <c r="J1156" s="18"/>
      <c r="K1156" s="18"/>
    </row>
    <row r="1157">
      <c r="J1157" s="18"/>
      <c r="K1157" s="18"/>
    </row>
    <row r="1158">
      <c r="J1158" s="18"/>
      <c r="K1158" s="18"/>
    </row>
    <row r="1159">
      <c r="J1159" s="18"/>
      <c r="K1159" s="18"/>
    </row>
    <row r="1160">
      <c r="J1160" s="18"/>
      <c r="K1160" s="18"/>
    </row>
    <row r="1161">
      <c r="J1161" s="18"/>
      <c r="K1161" s="18"/>
    </row>
    <row r="1162">
      <c r="J1162" s="18"/>
      <c r="K1162" s="18"/>
    </row>
    <row r="1163">
      <c r="J1163" s="18"/>
      <c r="K1163" s="18"/>
    </row>
    <row r="1164">
      <c r="J1164" s="18"/>
      <c r="K1164" s="18"/>
    </row>
    <row r="1165">
      <c r="J1165" s="18"/>
      <c r="K1165" s="18"/>
    </row>
    <row r="1166">
      <c r="J1166" s="18"/>
      <c r="K1166" s="18"/>
    </row>
    <row r="1167">
      <c r="J1167" s="18"/>
      <c r="K1167" s="18"/>
    </row>
    <row r="1168">
      <c r="J1168" s="18"/>
      <c r="K1168" s="18"/>
    </row>
    <row r="1169">
      <c r="J1169" s="18"/>
      <c r="K1169" s="18"/>
    </row>
    <row r="1170">
      <c r="J1170" s="18"/>
      <c r="K1170" s="18"/>
    </row>
    <row r="1171">
      <c r="J1171" s="18"/>
      <c r="K1171" s="18"/>
    </row>
    <row r="1172">
      <c r="J1172" s="18"/>
      <c r="K1172" s="18"/>
    </row>
    <row r="1173">
      <c r="J1173" s="18"/>
      <c r="K1173" s="18"/>
    </row>
    <row r="1174">
      <c r="J1174" s="18"/>
      <c r="K1174" s="18"/>
    </row>
    <row r="1175">
      <c r="J1175" s="18"/>
      <c r="K1175" s="18"/>
    </row>
    <row r="1176">
      <c r="J1176" s="18"/>
      <c r="K1176" s="18"/>
    </row>
    <row r="1177">
      <c r="J1177" s="18"/>
      <c r="K1177" s="18"/>
    </row>
    <row r="1178">
      <c r="J1178" s="18"/>
      <c r="K1178" s="18"/>
    </row>
    <row r="1179">
      <c r="J1179" s="18"/>
      <c r="K1179" s="18"/>
    </row>
    <row r="1180">
      <c r="J1180" s="18"/>
      <c r="K1180" s="18"/>
    </row>
    <row r="1181">
      <c r="J1181" s="18"/>
      <c r="K1181" s="18"/>
    </row>
    <row r="1182">
      <c r="J1182" s="18"/>
      <c r="K1182" s="18"/>
    </row>
    <row r="1183">
      <c r="J1183" s="18"/>
      <c r="K1183" s="18"/>
    </row>
    <row r="1184">
      <c r="J1184" s="18"/>
      <c r="K1184" s="18"/>
    </row>
    <row r="1185">
      <c r="J1185" s="18"/>
      <c r="K1185" s="18"/>
    </row>
    <row r="1186">
      <c r="J1186" s="18"/>
      <c r="K1186" s="18"/>
    </row>
    <row r="1187">
      <c r="J1187" s="18"/>
      <c r="K1187" s="18"/>
    </row>
    <row r="1188">
      <c r="J1188" s="18"/>
      <c r="K1188" s="18"/>
    </row>
    <row r="1189">
      <c r="J1189" s="18"/>
      <c r="K1189" s="18"/>
    </row>
    <row r="1190">
      <c r="J1190" s="18"/>
      <c r="K1190" s="18"/>
    </row>
    <row r="1191">
      <c r="J1191" s="18"/>
      <c r="K1191" s="18"/>
    </row>
    <row r="1192">
      <c r="J1192" s="18"/>
      <c r="K1192" s="18"/>
    </row>
    <row r="1193">
      <c r="J1193" s="18"/>
      <c r="K1193" s="18"/>
    </row>
    <row r="1194">
      <c r="J1194" s="18"/>
      <c r="K1194" s="18"/>
    </row>
    <row r="1195">
      <c r="J1195" s="18"/>
      <c r="K1195" s="18"/>
    </row>
    <row r="1196">
      <c r="J1196" s="18"/>
      <c r="K1196" s="18"/>
    </row>
    <row r="1197">
      <c r="J1197" s="18"/>
      <c r="K1197" s="18"/>
    </row>
    <row r="1198">
      <c r="J1198" s="18"/>
      <c r="K1198" s="18"/>
    </row>
    <row r="1199">
      <c r="J1199" s="18"/>
      <c r="K1199" s="18"/>
    </row>
    <row r="1200">
      <c r="J1200" s="18"/>
      <c r="K1200" s="18"/>
    </row>
    <row r="1201">
      <c r="J1201" s="18"/>
      <c r="K1201" s="18"/>
    </row>
    <row r="1202">
      <c r="J1202" s="18"/>
      <c r="K1202" s="18"/>
    </row>
    <row r="1203">
      <c r="J1203" s="18"/>
      <c r="K1203" s="18"/>
    </row>
    <row r="1204">
      <c r="J1204" s="18"/>
      <c r="K1204" s="18"/>
    </row>
    <row r="1205">
      <c r="J1205" s="18"/>
      <c r="K1205" s="18"/>
    </row>
    <row r="1206">
      <c r="J1206" s="18"/>
      <c r="K1206" s="18"/>
    </row>
    <row r="1207">
      <c r="J1207" s="18"/>
      <c r="K1207" s="18"/>
    </row>
    <row r="1208">
      <c r="J1208" s="18"/>
      <c r="K1208" s="18"/>
    </row>
    <row r="1209">
      <c r="J1209" s="18"/>
      <c r="K1209" s="18"/>
    </row>
    <row r="1210">
      <c r="J1210" s="18"/>
      <c r="K1210" s="18"/>
    </row>
    <row r="1211">
      <c r="J1211" s="18"/>
      <c r="K1211" s="18"/>
    </row>
    <row r="1212">
      <c r="J1212" s="18"/>
      <c r="K1212" s="18"/>
    </row>
    <row r="1213">
      <c r="J1213" s="18"/>
      <c r="K1213" s="18"/>
    </row>
    <row r="1214">
      <c r="J1214" s="18"/>
      <c r="K1214" s="18"/>
    </row>
    <row r="1215">
      <c r="J1215" s="18"/>
      <c r="K1215" s="18"/>
    </row>
    <row r="1216">
      <c r="J1216" s="18"/>
      <c r="K1216" s="18"/>
    </row>
    <row r="1217">
      <c r="J1217" s="18"/>
      <c r="K1217" s="18"/>
    </row>
    <row r="1218">
      <c r="J1218" s="18"/>
      <c r="K1218" s="18"/>
    </row>
    <row r="1219">
      <c r="J1219" s="18"/>
      <c r="K1219" s="18"/>
    </row>
    <row r="1220">
      <c r="J1220" s="18"/>
      <c r="K1220" s="18"/>
    </row>
    <row r="1221">
      <c r="J1221" s="18"/>
      <c r="K1221" s="18"/>
    </row>
    <row r="1222">
      <c r="J1222" s="18"/>
      <c r="K1222" s="18"/>
    </row>
    <row r="1223">
      <c r="J1223" s="18"/>
      <c r="K1223" s="18"/>
    </row>
    <row r="1224">
      <c r="J1224" s="18"/>
      <c r="K1224" s="18"/>
    </row>
    <row r="1225">
      <c r="J1225" s="18"/>
      <c r="K1225" s="18"/>
    </row>
    <row r="1226">
      <c r="J1226" s="18"/>
      <c r="K1226" s="18"/>
    </row>
    <row r="1227">
      <c r="J1227" s="18"/>
      <c r="K1227" s="18"/>
    </row>
    <row r="1228">
      <c r="J1228" s="18"/>
      <c r="K1228" s="18"/>
    </row>
    <row r="1229">
      <c r="J1229" s="18"/>
      <c r="K1229" s="18"/>
    </row>
    <row r="1230">
      <c r="J1230" s="18"/>
      <c r="K1230" s="18"/>
    </row>
    <row r="1231">
      <c r="J1231" s="18"/>
      <c r="K1231" s="18"/>
    </row>
    <row r="1232">
      <c r="J1232" s="18"/>
      <c r="K1232" s="18"/>
    </row>
    <row r="1233">
      <c r="J1233" s="18"/>
      <c r="K1233" s="18"/>
    </row>
    <row r="1234">
      <c r="J1234" s="18"/>
      <c r="K1234" s="18"/>
    </row>
    <row r="1235">
      <c r="J1235" s="18"/>
      <c r="K1235" s="18"/>
    </row>
    <row r="1236">
      <c r="J1236" s="18"/>
      <c r="K1236" s="18"/>
    </row>
    <row r="1237">
      <c r="J1237" s="18"/>
      <c r="K1237" s="18"/>
    </row>
    <row r="1238">
      <c r="J1238" s="18"/>
      <c r="K1238" s="18"/>
    </row>
    <row r="1239">
      <c r="J1239" s="18"/>
      <c r="K1239" s="18"/>
    </row>
    <row r="1240">
      <c r="J1240" s="18"/>
      <c r="K1240" s="18"/>
    </row>
    <row r="1241">
      <c r="J1241" s="18"/>
      <c r="K1241" s="18"/>
    </row>
    <row r="1242">
      <c r="J1242" s="18"/>
      <c r="K1242" s="18"/>
    </row>
    <row r="1243">
      <c r="J1243" s="18"/>
      <c r="K1243" s="18"/>
    </row>
    <row r="1244">
      <c r="J1244" s="18"/>
      <c r="K1244" s="18"/>
    </row>
    <row r="1245">
      <c r="J1245" s="18"/>
      <c r="K1245" s="18"/>
    </row>
    <row r="1246">
      <c r="J1246" s="18"/>
      <c r="K1246" s="18"/>
    </row>
    <row r="1247">
      <c r="J1247" s="18"/>
      <c r="K1247" s="18"/>
    </row>
    <row r="1248">
      <c r="J1248" s="18"/>
      <c r="K1248" s="18"/>
    </row>
    <row r="1249">
      <c r="J1249" s="18"/>
      <c r="K1249" s="18"/>
    </row>
    <row r="1250">
      <c r="J1250" s="18"/>
      <c r="K1250" s="18"/>
    </row>
    <row r="1251">
      <c r="J1251" s="18"/>
      <c r="K1251" s="18"/>
    </row>
    <row r="1252">
      <c r="J1252" s="18"/>
      <c r="K1252" s="18"/>
    </row>
    <row r="1253">
      <c r="J1253" s="18"/>
      <c r="K1253" s="18"/>
    </row>
    <row r="1254">
      <c r="J1254" s="18"/>
      <c r="K1254" s="18"/>
    </row>
    <row r="1255">
      <c r="J1255" s="18"/>
      <c r="K1255" s="18"/>
    </row>
    <row r="1256">
      <c r="J1256" s="18"/>
      <c r="K1256" s="18"/>
    </row>
    <row r="1257">
      <c r="J1257" s="18"/>
      <c r="K1257" s="18"/>
    </row>
    <row r="1258">
      <c r="J1258" s="18"/>
      <c r="K1258" s="18"/>
    </row>
    <row r="1259">
      <c r="J1259" s="18"/>
      <c r="K1259" s="18"/>
    </row>
    <row r="1260">
      <c r="J1260" s="18"/>
      <c r="K1260" s="18"/>
    </row>
    <row r="1261">
      <c r="J1261" s="18"/>
      <c r="K1261" s="18"/>
    </row>
    <row r="1262">
      <c r="J1262" s="18"/>
      <c r="K1262" s="18"/>
    </row>
    <row r="1263">
      <c r="J1263" s="18"/>
      <c r="K1263" s="18"/>
    </row>
    <row r="1264">
      <c r="J1264" s="18"/>
      <c r="K1264" s="18"/>
    </row>
    <row r="1265">
      <c r="J1265" s="18"/>
      <c r="K1265" s="18"/>
    </row>
    <row r="1266">
      <c r="J1266" s="18"/>
      <c r="K1266" s="18"/>
    </row>
    <row r="1267">
      <c r="J1267" s="18"/>
      <c r="K1267" s="18"/>
    </row>
    <row r="1268">
      <c r="J1268" s="18"/>
      <c r="K1268" s="18"/>
    </row>
    <row r="1269">
      <c r="J1269" s="18"/>
      <c r="K1269" s="18"/>
    </row>
    <row r="1270">
      <c r="J1270" s="18"/>
      <c r="K1270" s="18"/>
    </row>
    <row r="1271">
      <c r="J1271" s="18"/>
      <c r="K1271" s="18"/>
    </row>
    <row r="1272">
      <c r="J1272" s="18"/>
      <c r="K1272" s="18"/>
    </row>
    <row r="1273">
      <c r="J1273" s="18"/>
      <c r="K1273" s="18"/>
    </row>
    <row r="1274">
      <c r="J1274" s="18"/>
      <c r="K1274" s="18"/>
    </row>
    <row r="1275">
      <c r="J1275" s="18"/>
      <c r="K1275" s="18"/>
    </row>
    <row r="1276">
      <c r="J1276" s="18"/>
      <c r="K1276" s="18"/>
    </row>
    <row r="1277">
      <c r="J1277" s="18"/>
      <c r="K1277" s="18"/>
    </row>
    <row r="1278">
      <c r="J1278" s="18"/>
      <c r="K1278" s="18"/>
    </row>
    <row r="1279">
      <c r="J1279" s="18"/>
      <c r="K1279" s="18"/>
    </row>
    <row r="1280">
      <c r="J1280" s="18"/>
      <c r="K1280" s="18"/>
    </row>
    <row r="1281">
      <c r="J1281" s="18"/>
      <c r="K1281" s="18"/>
    </row>
    <row r="1282">
      <c r="J1282" s="18"/>
      <c r="K1282" s="18"/>
    </row>
    <row r="1283">
      <c r="J1283" s="18"/>
      <c r="K1283" s="18"/>
    </row>
    <row r="1284">
      <c r="J1284" s="18"/>
      <c r="K1284" s="18"/>
    </row>
    <row r="1285">
      <c r="J1285" s="18"/>
      <c r="K1285" s="18"/>
    </row>
    <row r="1286">
      <c r="J1286" s="18"/>
      <c r="K1286" s="18"/>
    </row>
    <row r="1287">
      <c r="J1287" s="18"/>
      <c r="K1287" s="18"/>
    </row>
    <row r="1288">
      <c r="J1288" s="18"/>
      <c r="K1288" s="18"/>
    </row>
    <row r="1289">
      <c r="J1289" s="18"/>
      <c r="K1289" s="18"/>
    </row>
    <row r="1290">
      <c r="J1290" s="18"/>
      <c r="K1290" s="18"/>
    </row>
    <row r="1291">
      <c r="J1291" s="18"/>
      <c r="K1291" s="18"/>
    </row>
    <row r="1292">
      <c r="J1292" s="18"/>
      <c r="K1292" s="18"/>
    </row>
    <row r="1293">
      <c r="J1293" s="18"/>
      <c r="K1293" s="18"/>
    </row>
    <row r="1294">
      <c r="J1294" s="18"/>
      <c r="K1294" s="18"/>
    </row>
    <row r="1295">
      <c r="J1295" s="18"/>
      <c r="K1295" s="18"/>
    </row>
    <row r="1296">
      <c r="J1296" s="18"/>
      <c r="K1296" s="18"/>
    </row>
    <row r="1297">
      <c r="J1297" s="18"/>
      <c r="K1297" s="18"/>
    </row>
    <row r="1298">
      <c r="J1298" s="18"/>
      <c r="K1298" s="18"/>
    </row>
    <row r="1299">
      <c r="J1299" s="18"/>
      <c r="K1299" s="18"/>
    </row>
    <row r="1300">
      <c r="J1300" s="18"/>
      <c r="K1300" s="18"/>
    </row>
    <row r="1301">
      <c r="J1301" s="18"/>
      <c r="K1301" s="18"/>
    </row>
    <row r="1302">
      <c r="J1302" s="18"/>
      <c r="K1302" s="18"/>
    </row>
    <row r="1303">
      <c r="J1303" s="18"/>
      <c r="K1303" s="18"/>
    </row>
    <row r="1304">
      <c r="J1304" s="18"/>
      <c r="K1304" s="18"/>
    </row>
    <row r="1305">
      <c r="J1305" s="18"/>
      <c r="K1305" s="18"/>
    </row>
    <row r="1306">
      <c r="J1306" s="18"/>
      <c r="K1306" s="18"/>
    </row>
    <row r="1307">
      <c r="J1307" s="18"/>
      <c r="K1307" s="18"/>
    </row>
    <row r="1308">
      <c r="J1308" s="18"/>
      <c r="K1308" s="18"/>
    </row>
    <row r="1309">
      <c r="J1309" s="18"/>
      <c r="K1309" s="18"/>
    </row>
    <row r="1310">
      <c r="J1310" s="18"/>
      <c r="K1310" s="18"/>
    </row>
    <row r="1311">
      <c r="J1311" s="18"/>
      <c r="K1311" s="18"/>
    </row>
    <row r="1312">
      <c r="J1312" s="18"/>
      <c r="K1312" s="18"/>
    </row>
    <row r="1313">
      <c r="J1313" s="18"/>
      <c r="K1313" s="18"/>
    </row>
    <row r="1314">
      <c r="J1314" s="18"/>
      <c r="K1314" s="18"/>
    </row>
    <row r="1315">
      <c r="J1315" s="18"/>
      <c r="K1315" s="18"/>
    </row>
    <row r="1316">
      <c r="J1316" s="18"/>
      <c r="K1316" s="18"/>
    </row>
    <row r="1317">
      <c r="J1317" s="18"/>
      <c r="K1317" s="18"/>
    </row>
    <row r="1318">
      <c r="J1318" s="18"/>
      <c r="K1318" s="18"/>
    </row>
    <row r="1319">
      <c r="J1319" s="18"/>
      <c r="K1319" s="18"/>
    </row>
    <row r="1320">
      <c r="J1320" s="18"/>
      <c r="K1320" s="18"/>
    </row>
    <row r="1321">
      <c r="J1321" s="18"/>
      <c r="K1321" s="18"/>
    </row>
    <row r="1322">
      <c r="J1322" s="18"/>
      <c r="K1322" s="18"/>
    </row>
    <row r="1323">
      <c r="J1323" s="18"/>
      <c r="K1323" s="18"/>
    </row>
    <row r="1324">
      <c r="J1324" s="18"/>
      <c r="K1324" s="18"/>
    </row>
    <row r="1325">
      <c r="J1325" s="18"/>
      <c r="K1325" s="18"/>
    </row>
    <row r="1326">
      <c r="J1326" s="18"/>
      <c r="K1326" s="18"/>
    </row>
    <row r="1327">
      <c r="J1327" s="18"/>
      <c r="K1327" s="18"/>
    </row>
    <row r="1328">
      <c r="J1328" s="18"/>
      <c r="K1328" s="18"/>
    </row>
    <row r="1329">
      <c r="J1329" s="18"/>
      <c r="K1329" s="18"/>
    </row>
    <row r="1330">
      <c r="J1330" s="18"/>
      <c r="K1330" s="18"/>
    </row>
    <row r="1331">
      <c r="J1331" s="18"/>
      <c r="K1331" s="18"/>
    </row>
    <row r="1332">
      <c r="J1332" s="18"/>
      <c r="K1332" s="18"/>
    </row>
    <row r="1333">
      <c r="J1333" s="18"/>
      <c r="K1333" s="18"/>
    </row>
    <row r="1334">
      <c r="J1334" s="18"/>
      <c r="K1334" s="18"/>
    </row>
    <row r="1335">
      <c r="J1335" s="18"/>
      <c r="K1335" s="18"/>
    </row>
    <row r="1336">
      <c r="J1336" s="18"/>
      <c r="K1336" s="18"/>
    </row>
    <row r="1337">
      <c r="J1337" s="18"/>
      <c r="K1337" s="18"/>
    </row>
    <row r="1338">
      <c r="J1338" s="18"/>
      <c r="K1338" s="18"/>
    </row>
    <row r="1339">
      <c r="J1339" s="18"/>
      <c r="K1339" s="18"/>
    </row>
    <row r="1340">
      <c r="J1340" s="18"/>
      <c r="K1340" s="18"/>
    </row>
    <row r="1341">
      <c r="J1341" s="18"/>
      <c r="K1341" s="18"/>
    </row>
    <row r="1342">
      <c r="J1342" s="18"/>
      <c r="K1342" s="18"/>
    </row>
    <row r="1343">
      <c r="J1343" s="18"/>
      <c r="K1343" s="18"/>
    </row>
    <row r="1344">
      <c r="J1344" s="18"/>
      <c r="K1344" s="18"/>
    </row>
    <row r="1345">
      <c r="J1345" s="18"/>
      <c r="K1345" s="18"/>
    </row>
    <row r="1346">
      <c r="J1346" s="18"/>
      <c r="K1346" s="18"/>
    </row>
    <row r="1347">
      <c r="J1347" s="18"/>
      <c r="K1347" s="18"/>
    </row>
    <row r="1348">
      <c r="J1348" s="18"/>
      <c r="K1348" s="18"/>
    </row>
    <row r="1349">
      <c r="J1349" s="18"/>
      <c r="K1349" s="18"/>
    </row>
    <row r="1350">
      <c r="J1350" s="18"/>
      <c r="K1350" s="18"/>
    </row>
    <row r="1351">
      <c r="J1351" s="18"/>
      <c r="K1351" s="18"/>
    </row>
    <row r="1352">
      <c r="J1352" s="18"/>
      <c r="K1352" s="18"/>
    </row>
    <row r="1353">
      <c r="J1353" s="18"/>
      <c r="K1353" s="18"/>
    </row>
    <row r="1354">
      <c r="J1354" s="18"/>
      <c r="K1354" s="18"/>
    </row>
    <row r="1355">
      <c r="J1355" s="18"/>
      <c r="K1355" s="18"/>
    </row>
    <row r="1356">
      <c r="J1356" s="18"/>
      <c r="K1356" s="18"/>
    </row>
    <row r="1357">
      <c r="J1357" s="18"/>
      <c r="K1357" s="18"/>
    </row>
    <row r="1358">
      <c r="J1358" s="18"/>
      <c r="K1358" s="18"/>
    </row>
    <row r="1359">
      <c r="J1359" s="18"/>
      <c r="K1359" s="18"/>
    </row>
    <row r="1360">
      <c r="J1360" s="18"/>
      <c r="K1360" s="18"/>
    </row>
    <row r="1361">
      <c r="J1361" s="18"/>
      <c r="K1361" s="18"/>
    </row>
    <row r="1362">
      <c r="J1362" s="18"/>
      <c r="K1362" s="18"/>
    </row>
    <row r="1363">
      <c r="J1363" s="18"/>
      <c r="K1363" s="18"/>
    </row>
    <row r="1364">
      <c r="J1364" s="18"/>
      <c r="K1364" s="18"/>
    </row>
    <row r="1365">
      <c r="J1365" s="18"/>
      <c r="K1365" s="18"/>
    </row>
    <row r="1366">
      <c r="J1366" s="18"/>
      <c r="K1366" s="18"/>
    </row>
    <row r="1367">
      <c r="J1367" s="18"/>
      <c r="K1367" s="18"/>
    </row>
    <row r="1368">
      <c r="J1368" s="18"/>
      <c r="K1368" s="18"/>
    </row>
    <row r="1369">
      <c r="J1369" s="18"/>
      <c r="K1369" s="18"/>
    </row>
    <row r="1370">
      <c r="J1370" s="18"/>
      <c r="K1370" s="18"/>
    </row>
    <row r="1371">
      <c r="J1371" s="18"/>
      <c r="K1371" s="18"/>
    </row>
    <row r="1372">
      <c r="J1372" s="18"/>
      <c r="K1372" s="18"/>
    </row>
    <row r="1373">
      <c r="J1373" s="18"/>
      <c r="K1373" s="18"/>
    </row>
    <row r="1374">
      <c r="J1374" s="18"/>
      <c r="K1374" s="18"/>
    </row>
    <row r="1375">
      <c r="J1375" s="18"/>
      <c r="K1375" s="18"/>
    </row>
    <row r="1376">
      <c r="J1376" s="18"/>
      <c r="K1376" s="18"/>
    </row>
    <row r="1377">
      <c r="J1377" s="18"/>
      <c r="K1377" s="18"/>
    </row>
    <row r="1378">
      <c r="J1378" s="18"/>
      <c r="K1378" s="18"/>
    </row>
    <row r="1379">
      <c r="J1379" s="18"/>
      <c r="K1379" s="18"/>
    </row>
    <row r="1380">
      <c r="J1380" s="18"/>
      <c r="K1380" s="18"/>
    </row>
    <row r="1381">
      <c r="J1381" s="18"/>
      <c r="K1381" s="18"/>
    </row>
    <row r="1382">
      <c r="J1382" s="18"/>
      <c r="K1382" s="18"/>
    </row>
    <row r="1383">
      <c r="J1383" s="18"/>
      <c r="K1383" s="18"/>
    </row>
    <row r="1384">
      <c r="J1384" s="18"/>
      <c r="K1384" s="18"/>
    </row>
    <row r="1385">
      <c r="J1385" s="18"/>
      <c r="K1385" s="18"/>
    </row>
    <row r="1386">
      <c r="J1386" s="18"/>
      <c r="K1386" s="18"/>
    </row>
    <row r="1387">
      <c r="J1387" s="18"/>
      <c r="K1387" s="18"/>
    </row>
    <row r="1388">
      <c r="J1388" s="18"/>
      <c r="K1388" s="18"/>
    </row>
    <row r="1389">
      <c r="J1389" s="18"/>
      <c r="K1389" s="18"/>
    </row>
    <row r="1390">
      <c r="J1390" s="18"/>
      <c r="K1390" s="18"/>
    </row>
    <row r="1391">
      <c r="J1391" s="18"/>
      <c r="K1391" s="18"/>
    </row>
    <row r="1392">
      <c r="J1392" s="18"/>
      <c r="K1392" s="18"/>
    </row>
    <row r="1393">
      <c r="J1393" s="18"/>
      <c r="K1393" s="18"/>
    </row>
    <row r="1394">
      <c r="J1394" s="18"/>
      <c r="K1394" s="18"/>
    </row>
    <row r="1395">
      <c r="J1395" s="18"/>
      <c r="K1395" s="18"/>
    </row>
    <row r="1396">
      <c r="J1396" s="18"/>
      <c r="K1396" s="18"/>
    </row>
    <row r="1397">
      <c r="J1397" s="18"/>
      <c r="K1397" s="18"/>
    </row>
    <row r="1398">
      <c r="J1398" s="18"/>
      <c r="K1398" s="18"/>
    </row>
    <row r="1399">
      <c r="J1399" s="18"/>
      <c r="K1399" s="18"/>
    </row>
    <row r="1400">
      <c r="J1400" s="18"/>
      <c r="K1400" s="18"/>
    </row>
    <row r="1401">
      <c r="J1401" s="18"/>
      <c r="K1401" s="18"/>
    </row>
    <row r="1402">
      <c r="J1402" s="18"/>
      <c r="K1402" s="18"/>
    </row>
    <row r="1403">
      <c r="J1403" s="18"/>
      <c r="K1403" s="18"/>
    </row>
    <row r="1404">
      <c r="J1404" s="18"/>
      <c r="K1404" s="18"/>
    </row>
    <row r="1405">
      <c r="J1405" s="18"/>
      <c r="K1405" s="18"/>
    </row>
    <row r="1406">
      <c r="J1406" s="18"/>
      <c r="K1406" s="18"/>
    </row>
    <row r="1407">
      <c r="J1407" s="18"/>
      <c r="K1407" s="18"/>
    </row>
    <row r="1408">
      <c r="J1408" s="18"/>
      <c r="K1408" s="18"/>
    </row>
    <row r="1409">
      <c r="J1409" s="18"/>
      <c r="K1409" s="18"/>
    </row>
    <row r="1410">
      <c r="J1410" s="18"/>
      <c r="K1410" s="18"/>
    </row>
    <row r="1411">
      <c r="J1411" s="18"/>
      <c r="K1411" s="18"/>
    </row>
    <row r="1412">
      <c r="J1412" s="18"/>
      <c r="K1412" s="18"/>
    </row>
    <row r="1413">
      <c r="J1413" s="18"/>
      <c r="K1413" s="18"/>
    </row>
    <row r="1414">
      <c r="J1414" s="18"/>
      <c r="K1414" s="18"/>
    </row>
    <row r="1415">
      <c r="J1415" s="18"/>
      <c r="K1415" s="18"/>
    </row>
    <row r="1416">
      <c r="J1416" s="18"/>
      <c r="K1416" s="18"/>
    </row>
    <row r="1417">
      <c r="J1417" s="18"/>
      <c r="K1417" s="18"/>
    </row>
    <row r="1418">
      <c r="J1418" s="18"/>
      <c r="K1418" s="18"/>
    </row>
    <row r="1419">
      <c r="J1419" s="18"/>
      <c r="K1419" s="18"/>
    </row>
    <row r="1420">
      <c r="J1420" s="18"/>
      <c r="K1420" s="18"/>
    </row>
    <row r="1421">
      <c r="J1421" s="18"/>
      <c r="K1421" s="18"/>
    </row>
    <row r="1422">
      <c r="J1422" s="18"/>
      <c r="K1422" s="18"/>
    </row>
    <row r="1423">
      <c r="J1423" s="18"/>
      <c r="K1423" s="18"/>
    </row>
    <row r="1424">
      <c r="J1424" s="18"/>
      <c r="K1424" s="18"/>
    </row>
    <row r="1425">
      <c r="J1425" s="18"/>
      <c r="K1425" s="18"/>
    </row>
    <row r="1426">
      <c r="J1426" s="18"/>
      <c r="K1426" s="18"/>
    </row>
    <row r="1427">
      <c r="J1427" s="18"/>
      <c r="K1427" s="18"/>
    </row>
    <row r="1428">
      <c r="J1428" s="18"/>
      <c r="K1428" s="18"/>
    </row>
    <row r="1429">
      <c r="J1429" s="18"/>
      <c r="K1429" s="18"/>
    </row>
    <row r="1430">
      <c r="J1430" s="18"/>
      <c r="K1430" s="18"/>
    </row>
    <row r="1431">
      <c r="J1431" s="18"/>
      <c r="K1431" s="18"/>
    </row>
    <row r="1432">
      <c r="J1432" s="18"/>
      <c r="K1432" s="18"/>
    </row>
    <row r="1433">
      <c r="J1433" s="18"/>
      <c r="K1433" s="18"/>
    </row>
    <row r="1434">
      <c r="J1434" s="18"/>
      <c r="K1434" s="18"/>
    </row>
    <row r="1435">
      <c r="J1435" s="18"/>
      <c r="K1435" s="18"/>
    </row>
    <row r="1436">
      <c r="J1436" s="18"/>
      <c r="K1436" s="18"/>
    </row>
    <row r="1437">
      <c r="J1437" s="18"/>
      <c r="K1437" s="18"/>
    </row>
    <row r="1438">
      <c r="J1438" s="18"/>
      <c r="K1438" s="18"/>
    </row>
    <row r="1439">
      <c r="J1439" s="18"/>
      <c r="K1439" s="18"/>
    </row>
    <row r="1440">
      <c r="J1440" s="18"/>
      <c r="K1440" s="18"/>
    </row>
    <row r="1441">
      <c r="J1441" s="18"/>
      <c r="K1441" s="18"/>
    </row>
    <row r="1442">
      <c r="J1442" s="18"/>
      <c r="K1442" s="18"/>
    </row>
    <row r="1443">
      <c r="J1443" s="18"/>
      <c r="K1443" s="18"/>
    </row>
    <row r="1444">
      <c r="J1444" s="18"/>
      <c r="K1444" s="18"/>
    </row>
    <row r="1445">
      <c r="J1445" s="18"/>
      <c r="K1445" s="18"/>
    </row>
    <row r="1446">
      <c r="J1446" s="18"/>
      <c r="K1446" s="18"/>
    </row>
    <row r="1447">
      <c r="J1447" s="18"/>
      <c r="K1447" s="18"/>
    </row>
    <row r="1448">
      <c r="J1448" s="18"/>
      <c r="K1448" s="18"/>
    </row>
    <row r="1449">
      <c r="J1449" s="18"/>
      <c r="K1449" s="18"/>
    </row>
    <row r="1450">
      <c r="J1450" s="18"/>
      <c r="K1450" s="18"/>
    </row>
    <row r="1451">
      <c r="J1451" s="18"/>
      <c r="K1451" s="18"/>
    </row>
    <row r="1452">
      <c r="J1452" s="18"/>
      <c r="K1452" s="18"/>
    </row>
    <row r="1453">
      <c r="J1453" s="18"/>
      <c r="K1453" s="18"/>
    </row>
    <row r="1454">
      <c r="J1454" s="18"/>
      <c r="K1454" s="18"/>
    </row>
    <row r="1455">
      <c r="J1455" s="18"/>
      <c r="K1455" s="18"/>
    </row>
    <row r="1456">
      <c r="J1456" s="18"/>
      <c r="K1456" s="18"/>
    </row>
    <row r="1457">
      <c r="J1457" s="18"/>
      <c r="K1457" s="18"/>
    </row>
    <row r="1458">
      <c r="J1458" s="18"/>
      <c r="K1458" s="18"/>
    </row>
    <row r="1459">
      <c r="J1459" s="18"/>
      <c r="K1459" s="18"/>
    </row>
    <row r="1460">
      <c r="J1460" s="18"/>
      <c r="K1460" s="18"/>
    </row>
    <row r="1461">
      <c r="J1461" s="18"/>
      <c r="K1461" s="18"/>
    </row>
    <row r="1462">
      <c r="J1462" s="18"/>
      <c r="K1462" s="18"/>
    </row>
    <row r="1463">
      <c r="J1463" s="18"/>
      <c r="K1463" s="18"/>
    </row>
    <row r="1464">
      <c r="J1464" s="18"/>
      <c r="K1464" s="18"/>
    </row>
    <row r="1465">
      <c r="J1465" s="18"/>
      <c r="K1465" s="18"/>
    </row>
    <row r="1466">
      <c r="J1466" s="18"/>
      <c r="K1466" s="18"/>
    </row>
    <row r="1467">
      <c r="J1467" s="18"/>
      <c r="K1467" s="18"/>
    </row>
    <row r="1468">
      <c r="J1468" s="18"/>
      <c r="K1468" s="18"/>
    </row>
    <row r="1469">
      <c r="J1469" s="18"/>
      <c r="K1469" s="18"/>
    </row>
    <row r="1470">
      <c r="J1470" s="18"/>
      <c r="K1470" s="18"/>
    </row>
    <row r="1471">
      <c r="J1471" s="18"/>
      <c r="K1471" s="18"/>
    </row>
    <row r="1472">
      <c r="J1472" s="18"/>
      <c r="K1472" s="18"/>
    </row>
    <row r="1473">
      <c r="J1473" s="18"/>
      <c r="K1473" s="18"/>
    </row>
    <row r="1474">
      <c r="J1474" s="18"/>
      <c r="K1474" s="18"/>
    </row>
    <row r="1475">
      <c r="J1475" s="18"/>
      <c r="K1475" s="18"/>
    </row>
    <row r="1476">
      <c r="J1476" s="18"/>
      <c r="K1476" s="18"/>
    </row>
    <row r="1477">
      <c r="J1477" s="18"/>
      <c r="K1477" s="18"/>
    </row>
    <row r="1478">
      <c r="J1478" s="18"/>
      <c r="K1478" s="18"/>
    </row>
    <row r="1479">
      <c r="J1479" s="18"/>
      <c r="K1479" s="18"/>
    </row>
    <row r="1480">
      <c r="J1480" s="18"/>
      <c r="K1480" s="18"/>
    </row>
    <row r="1481">
      <c r="J1481" s="18"/>
      <c r="K1481" s="18"/>
    </row>
    <row r="1482">
      <c r="J1482" s="18"/>
      <c r="K1482" s="18"/>
    </row>
    <row r="1483">
      <c r="J1483" s="18"/>
      <c r="K1483" s="18"/>
    </row>
    <row r="1484">
      <c r="J1484" s="18"/>
      <c r="K1484" s="18"/>
    </row>
    <row r="1485">
      <c r="J1485" s="18"/>
      <c r="K1485" s="18"/>
    </row>
    <row r="1486">
      <c r="J1486" s="18"/>
      <c r="K1486" s="18"/>
    </row>
    <row r="1487">
      <c r="J1487" s="18"/>
      <c r="K1487" s="18"/>
    </row>
    <row r="1488">
      <c r="J1488" s="18"/>
      <c r="K1488" s="18"/>
    </row>
    <row r="1489">
      <c r="J1489" s="18"/>
      <c r="K1489" s="18"/>
    </row>
    <row r="1490">
      <c r="J1490" s="18"/>
      <c r="K1490" s="18"/>
    </row>
    <row r="1491">
      <c r="J1491" s="18"/>
      <c r="K1491" s="18"/>
    </row>
    <row r="1492">
      <c r="J1492" s="18"/>
      <c r="K1492" s="18"/>
    </row>
    <row r="1493">
      <c r="J1493" s="18"/>
      <c r="K1493" s="18"/>
    </row>
    <row r="1494">
      <c r="J1494" s="18"/>
      <c r="K1494" s="18"/>
    </row>
    <row r="1495">
      <c r="J1495" s="18"/>
      <c r="K1495" s="18"/>
    </row>
    <row r="1496">
      <c r="J1496" s="18"/>
      <c r="K1496" s="18"/>
    </row>
    <row r="1497">
      <c r="J1497" s="18"/>
      <c r="K1497" s="18"/>
    </row>
    <row r="1498">
      <c r="J1498" s="18"/>
      <c r="K1498" s="18"/>
    </row>
    <row r="1499">
      <c r="J1499" s="18"/>
      <c r="K1499" s="18"/>
    </row>
    <row r="1500">
      <c r="J1500" s="18"/>
      <c r="K1500" s="18"/>
    </row>
    <row r="1501">
      <c r="J1501" s="18"/>
      <c r="K1501" s="18"/>
    </row>
    <row r="1502">
      <c r="J1502" s="18"/>
      <c r="K1502" s="18"/>
    </row>
    <row r="1503">
      <c r="J1503" s="18"/>
      <c r="K1503" s="18"/>
    </row>
    <row r="1504">
      <c r="J1504" s="18"/>
      <c r="K1504" s="18"/>
    </row>
    <row r="1505">
      <c r="J1505" s="18"/>
      <c r="K1505" s="18"/>
    </row>
    <row r="1506">
      <c r="J1506" s="18"/>
      <c r="K1506" s="18"/>
    </row>
    <row r="1507">
      <c r="J1507" s="18"/>
      <c r="K1507" s="18"/>
    </row>
    <row r="1508">
      <c r="J1508" s="18"/>
      <c r="K1508" s="18"/>
    </row>
    <row r="1509">
      <c r="J1509" s="18"/>
      <c r="K1509" s="18"/>
    </row>
    <row r="1510">
      <c r="J1510" s="18"/>
      <c r="K1510" s="18"/>
    </row>
    <row r="1511">
      <c r="J1511" s="18"/>
      <c r="K1511" s="18"/>
    </row>
    <row r="1512">
      <c r="J1512" s="18"/>
      <c r="K1512" s="18"/>
    </row>
    <row r="1513">
      <c r="J1513" s="18"/>
      <c r="K1513" s="18"/>
    </row>
    <row r="1514">
      <c r="J1514" s="18"/>
      <c r="K1514" s="18"/>
    </row>
    <row r="1515">
      <c r="J1515" s="18"/>
      <c r="K1515" s="18"/>
    </row>
    <row r="1516">
      <c r="J1516" s="18"/>
      <c r="K1516" s="18"/>
    </row>
    <row r="1517">
      <c r="J1517" s="18"/>
      <c r="K1517" s="18"/>
    </row>
    <row r="1518">
      <c r="J1518" s="18"/>
      <c r="K1518" s="18"/>
    </row>
    <row r="1519">
      <c r="J1519" s="18"/>
      <c r="K1519" s="18"/>
    </row>
    <row r="1520">
      <c r="J1520" s="18"/>
      <c r="K1520" s="18"/>
    </row>
    <row r="1521">
      <c r="J1521" s="18"/>
      <c r="K1521" s="18"/>
    </row>
    <row r="1522">
      <c r="J1522" s="18"/>
      <c r="K1522" s="18"/>
    </row>
    <row r="1523">
      <c r="J1523" s="18"/>
      <c r="K1523" s="18"/>
    </row>
    <row r="1524">
      <c r="J1524" s="18"/>
      <c r="K1524" s="18"/>
    </row>
    <row r="1525">
      <c r="J1525" s="18"/>
      <c r="K1525" s="18"/>
    </row>
    <row r="1526">
      <c r="J1526" s="18"/>
      <c r="K1526" s="18"/>
    </row>
    <row r="1527">
      <c r="J1527" s="18"/>
      <c r="K1527" s="18"/>
    </row>
    <row r="1528">
      <c r="J1528" s="18"/>
      <c r="K1528" s="18"/>
    </row>
    <row r="1529">
      <c r="J1529" s="18"/>
      <c r="K1529" s="18"/>
    </row>
    <row r="1530">
      <c r="J1530" s="18"/>
      <c r="K1530" s="18"/>
    </row>
    <row r="1531">
      <c r="J1531" s="18"/>
      <c r="K1531" s="18"/>
    </row>
    <row r="1532">
      <c r="J1532" s="18"/>
      <c r="K1532" s="18"/>
    </row>
    <row r="1533">
      <c r="J1533" s="18"/>
      <c r="K1533" s="18"/>
    </row>
    <row r="1534">
      <c r="J1534" s="18"/>
      <c r="K1534" s="18"/>
    </row>
    <row r="1535">
      <c r="J1535" s="18"/>
      <c r="K1535" s="18"/>
    </row>
    <row r="1536">
      <c r="J1536" s="18"/>
      <c r="K1536" s="18"/>
    </row>
    <row r="1537">
      <c r="J1537" s="18"/>
      <c r="K1537" s="18"/>
    </row>
    <row r="1538">
      <c r="J1538" s="18"/>
      <c r="K1538" s="18"/>
    </row>
    <row r="1539">
      <c r="J1539" s="18"/>
      <c r="K1539" s="18"/>
    </row>
    <row r="1540">
      <c r="J1540" s="18"/>
      <c r="K1540" s="18"/>
    </row>
    <row r="1541">
      <c r="J1541" s="18"/>
      <c r="K1541" s="18"/>
    </row>
    <row r="1542">
      <c r="J1542" s="18"/>
      <c r="K1542" s="18"/>
    </row>
    <row r="1543">
      <c r="J1543" s="18"/>
      <c r="K1543" s="18"/>
    </row>
    <row r="1544">
      <c r="J1544" s="18"/>
      <c r="K1544" s="18"/>
    </row>
    <row r="1545">
      <c r="J1545" s="18"/>
      <c r="K1545" s="18"/>
    </row>
    <row r="1546">
      <c r="J1546" s="18"/>
      <c r="K1546" s="18"/>
    </row>
    <row r="1547">
      <c r="J1547" s="18"/>
      <c r="K1547" s="18"/>
    </row>
    <row r="1548">
      <c r="J1548" s="18"/>
      <c r="K1548" s="18"/>
    </row>
    <row r="1549">
      <c r="J1549" s="18"/>
      <c r="K1549" s="18"/>
    </row>
    <row r="1550">
      <c r="J1550" s="18"/>
      <c r="K1550" s="18"/>
    </row>
    <row r="1551">
      <c r="J1551" s="18"/>
      <c r="K1551" s="18"/>
    </row>
    <row r="1552">
      <c r="J1552" s="18"/>
      <c r="K1552" s="18"/>
    </row>
    <row r="1553">
      <c r="J1553" s="18"/>
      <c r="K1553" s="18"/>
    </row>
    <row r="1554">
      <c r="J1554" s="18"/>
      <c r="K1554" s="18"/>
    </row>
    <row r="1555">
      <c r="J1555" s="18"/>
      <c r="K1555" s="18"/>
    </row>
    <row r="1556">
      <c r="J1556" s="18"/>
      <c r="K1556" s="18"/>
    </row>
    <row r="1557">
      <c r="J1557" s="18"/>
      <c r="K1557" s="18"/>
    </row>
    <row r="1558">
      <c r="J1558" s="18"/>
      <c r="K1558" s="18"/>
    </row>
    <row r="1559">
      <c r="J1559" s="18"/>
      <c r="K1559" s="18"/>
    </row>
    <row r="1560">
      <c r="J1560" s="18"/>
      <c r="K1560" s="18"/>
    </row>
    <row r="1561">
      <c r="J1561" s="18"/>
      <c r="K1561" s="18"/>
    </row>
    <row r="1562">
      <c r="J1562" s="18"/>
      <c r="K1562" s="18"/>
    </row>
    <row r="1563">
      <c r="J1563" s="18"/>
      <c r="K1563" s="18"/>
    </row>
    <row r="1564">
      <c r="J1564" s="18"/>
      <c r="K1564" s="18"/>
    </row>
    <row r="1565">
      <c r="J1565" s="18"/>
      <c r="K1565" s="18"/>
    </row>
    <row r="1566">
      <c r="J1566" s="18"/>
      <c r="K1566" s="18"/>
    </row>
    <row r="1567">
      <c r="J1567" s="18"/>
      <c r="K1567" s="18"/>
    </row>
    <row r="1568">
      <c r="J1568" s="18"/>
      <c r="K1568" s="18"/>
    </row>
    <row r="1569">
      <c r="J1569" s="18"/>
      <c r="K1569" s="18"/>
    </row>
    <row r="1570">
      <c r="J1570" s="18"/>
      <c r="K1570" s="18"/>
    </row>
    <row r="1571">
      <c r="J1571" s="18"/>
      <c r="K1571" s="18"/>
    </row>
    <row r="1572">
      <c r="J1572" s="18"/>
      <c r="K1572" s="18"/>
    </row>
    <row r="1573">
      <c r="J1573" s="18"/>
      <c r="K1573" s="18"/>
    </row>
    <row r="1574">
      <c r="J1574" s="18"/>
      <c r="K1574" s="18"/>
    </row>
    <row r="1575">
      <c r="J1575" s="18"/>
      <c r="K1575" s="18"/>
    </row>
    <row r="1576">
      <c r="J1576" s="18"/>
      <c r="K1576" s="18"/>
    </row>
    <row r="1577">
      <c r="J1577" s="18"/>
      <c r="K1577" s="18"/>
    </row>
    <row r="1578">
      <c r="J1578" s="18"/>
      <c r="K1578" s="18"/>
    </row>
    <row r="1579">
      <c r="J1579" s="18"/>
      <c r="K1579" s="18"/>
    </row>
    <row r="1580">
      <c r="J1580" s="18"/>
      <c r="K1580" s="18"/>
    </row>
    <row r="1581">
      <c r="J1581" s="18"/>
      <c r="K1581" s="18"/>
    </row>
    <row r="1582">
      <c r="J1582" s="18"/>
      <c r="K1582" s="18"/>
    </row>
    <row r="1583">
      <c r="J1583" s="18"/>
      <c r="K1583" s="18"/>
    </row>
    <row r="1584">
      <c r="J1584" s="18"/>
      <c r="K1584" s="18"/>
    </row>
    <row r="1585">
      <c r="J1585" s="18"/>
      <c r="K1585" s="18"/>
    </row>
    <row r="1586">
      <c r="J1586" s="18"/>
      <c r="K1586" s="18"/>
    </row>
    <row r="1587">
      <c r="J1587" s="18"/>
      <c r="K1587" s="18"/>
    </row>
    <row r="1588">
      <c r="J1588" s="18"/>
      <c r="K1588" s="18"/>
    </row>
    <row r="1589">
      <c r="J1589" s="18"/>
      <c r="K1589" s="18"/>
    </row>
    <row r="1590">
      <c r="J1590" s="18"/>
      <c r="K1590" s="18"/>
    </row>
    <row r="1591">
      <c r="J1591" s="18"/>
      <c r="K1591" s="18"/>
    </row>
    <row r="1592">
      <c r="J1592" s="18"/>
      <c r="K1592" s="18"/>
    </row>
    <row r="1593">
      <c r="J1593" s="18"/>
      <c r="K1593" s="18"/>
    </row>
    <row r="1594">
      <c r="J1594" s="18"/>
      <c r="K1594" s="18"/>
    </row>
    <row r="1595">
      <c r="J1595" s="18"/>
      <c r="K1595" s="18"/>
    </row>
    <row r="1596">
      <c r="J1596" s="18"/>
      <c r="K1596" s="18"/>
    </row>
    <row r="1597">
      <c r="J1597" s="18"/>
      <c r="K1597" s="18"/>
    </row>
    <row r="1598">
      <c r="J1598" s="18"/>
      <c r="K1598" s="18"/>
    </row>
    <row r="1599">
      <c r="J1599" s="18"/>
      <c r="K1599" s="18"/>
    </row>
    <row r="1600">
      <c r="J1600" s="18"/>
      <c r="K1600" s="18"/>
    </row>
    <row r="1601">
      <c r="J1601" s="18"/>
      <c r="K1601" s="18"/>
    </row>
    <row r="1602">
      <c r="J1602" s="18"/>
      <c r="K1602" s="18"/>
    </row>
    <row r="1603">
      <c r="J1603" s="18"/>
      <c r="K1603" s="18"/>
    </row>
    <row r="1604">
      <c r="J1604" s="18"/>
      <c r="K1604" s="18"/>
    </row>
    <row r="1605">
      <c r="J1605" s="18"/>
      <c r="K1605" s="18"/>
    </row>
    <row r="1606">
      <c r="J1606" s="18"/>
      <c r="K1606" s="18"/>
    </row>
    <row r="1607">
      <c r="J1607" s="18"/>
      <c r="K1607" s="18"/>
    </row>
    <row r="1608">
      <c r="J1608" s="18"/>
      <c r="K1608" s="18"/>
    </row>
    <row r="1609">
      <c r="J1609" s="18"/>
      <c r="K1609" s="18"/>
    </row>
    <row r="1610">
      <c r="J1610" s="18"/>
      <c r="K1610" s="18"/>
    </row>
    <row r="1611">
      <c r="J1611" s="18"/>
      <c r="K1611" s="18"/>
    </row>
    <row r="1612">
      <c r="J1612" s="18"/>
      <c r="K1612" s="18"/>
    </row>
    <row r="1613">
      <c r="J1613" s="18"/>
      <c r="K1613" s="18"/>
    </row>
    <row r="1614">
      <c r="J1614" s="18"/>
      <c r="K1614" s="18"/>
    </row>
    <row r="1615">
      <c r="J1615" s="18"/>
      <c r="K1615" s="18"/>
    </row>
    <row r="1616">
      <c r="J1616" s="18"/>
      <c r="K1616" s="18"/>
    </row>
    <row r="1617">
      <c r="J1617" s="18"/>
      <c r="K1617" s="18"/>
    </row>
    <row r="1618">
      <c r="J1618" s="18"/>
      <c r="K1618" s="18"/>
    </row>
    <row r="1619">
      <c r="J1619" s="18"/>
      <c r="K1619" s="18"/>
    </row>
    <row r="1620">
      <c r="J1620" s="18"/>
      <c r="K1620" s="18"/>
    </row>
    <row r="1621">
      <c r="J1621" s="18"/>
      <c r="K1621" s="18"/>
    </row>
    <row r="1622">
      <c r="J1622" s="18"/>
      <c r="K1622" s="18"/>
    </row>
    <row r="1623">
      <c r="J1623" s="18"/>
      <c r="K1623" s="18"/>
    </row>
    <row r="1624">
      <c r="J1624" s="18"/>
      <c r="K1624" s="18"/>
    </row>
    <row r="1625">
      <c r="J1625" s="18"/>
      <c r="K1625" s="18"/>
    </row>
    <row r="1626">
      <c r="J1626" s="18"/>
      <c r="K1626" s="18"/>
    </row>
    <row r="1627">
      <c r="J1627" s="18"/>
      <c r="K1627" s="18"/>
    </row>
    <row r="1628">
      <c r="J1628" s="18"/>
      <c r="K1628" s="18"/>
    </row>
    <row r="1629">
      <c r="J1629" s="18"/>
      <c r="K1629" s="18"/>
    </row>
    <row r="1630">
      <c r="J1630" s="18"/>
      <c r="K1630" s="18"/>
    </row>
    <row r="1631">
      <c r="J1631" s="18"/>
      <c r="K1631" s="18"/>
    </row>
    <row r="1632">
      <c r="J1632" s="18"/>
      <c r="K1632" s="18"/>
    </row>
    <row r="1633">
      <c r="J1633" s="18"/>
      <c r="K1633" s="18"/>
    </row>
    <row r="1634">
      <c r="J1634" s="18"/>
      <c r="K1634" s="18"/>
    </row>
    <row r="1635">
      <c r="J1635" s="18"/>
      <c r="K1635" s="18"/>
    </row>
    <row r="1636">
      <c r="J1636" s="18"/>
      <c r="K1636" s="18"/>
    </row>
    <row r="1637">
      <c r="J1637" s="18"/>
      <c r="K1637" s="18"/>
    </row>
    <row r="1638">
      <c r="J1638" s="18"/>
      <c r="K1638" s="18"/>
    </row>
    <row r="1639">
      <c r="J1639" s="18"/>
      <c r="K1639" s="18"/>
    </row>
    <row r="1640">
      <c r="J1640" s="18"/>
      <c r="K1640" s="18"/>
    </row>
    <row r="1641">
      <c r="J1641" s="18"/>
      <c r="K1641" s="18"/>
    </row>
    <row r="1642">
      <c r="J1642" s="18"/>
      <c r="K1642" s="18"/>
    </row>
    <row r="1643">
      <c r="J1643" s="18"/>
      <c r="K1643" s="18"/>
    </row>
    <row r="1644">
      <c r="J1644" s="18"/>
      <c r="K1644" s="18"/>
    </row>
    <row r="1645">
      <c r="J1645" s="18"/>
      <c r="K1645" s="18"/>
    </row>
    <row r="1646">
      <c r="J1646" s="18"/>
      <c r="K1646" s="18"/>
    </row>
    <row r="1647">
      <c r="J1647" s="18"/>
      <c r="K1647" s="18"/>
    </row>
    <row r="1648">
      <c r="J1648" s="18"/>
      <c r="K1648" s="18"/>
    </row>
    <row r="1649">
      <c r="J1649" s="18"/>
      <c r="K1649" s="18"/>
    </row>
    <row r="1650">
      <c r="J1650" s="18"/>
      <c r="K1650" s="18"/>
    </row>
    <row r="1651">
      <c r="J1651" s="18"/>
      <c r="K1651" s="18"/>
    </row>
    <row r="1652">
      <c r="J1652" s="18"/>
      <c r="K1652" s="18"/>
    </row>
    <row r="1653">
      <c r="J1653" s="18"/>
      <c r="K1653" s="18"/>
    </row>
    <row r="1654">
      <c r="J1654" s="18"/>
      <c r="K1654" s="18"/>
    </row>
    <row r="1655">
      <c r="J1655" s="18"/>
      <c r="K1655" s="18"/>
    </row>
    <row r="1656">
      <c r="J1656" s="18"/>
      <c r="K1656" s="18"/>
    </row>
    <row r="1657">
      <c r="J1657" s="18"/>
      <c r="K1657" s="18"/>
    </row>
    <row r="1658">
      <c r="J1658" s="18"/>
      <c r="K1658" s="18"/>
    </row>
    <row r="1659">
      <c r="J1659" s="18"/>
      <c r="K1659" s="18"/>
    </row>
    <row r="1660">
      <c r="J1660" s="18"/>
      <c r="K1660" s="18"/>
    </row>
    <row r="1661">
      <c r="J1661" s="18"/>
      <c r="K1661" s="18"/>
    </row>
    <row r="1662">
      <c r="J1662" s="18"/>
      <c r="K1662" s="18"/>
    </row>
    <row r="1663">
      <c r="J1663" s="18"/>
      <c r="K1663" s="18"/>
    </row>
    <row r="1664">
      <c r="J1664" s="18"/>
      <c r="K1664" s="18"/>
    </row>
    <row r="1665">
      <c r="J1665" s="18"/>
      <c r="K1665" s="18"/>
    </row>
    <row r="1666">
      <c r="J1666" s="18"/>
      <c r="K1666" s="18"/>
    </row>
    <row r="1667">
      <c r="J1667" s="18"/>
      <c r="K1667" s="18"/>
    </row>
    <row r="1668">
      <c r="J1668" s="18"/>
      <c r="K1668" s="18"/>
    </row>
    <row r="1669">
      <c r="J1669" s="18"/>
      <c r="K1669" s="18"/>
    </row>
    <row r="1670">
      <c r="J1670" s="18"/>
      <c r="K1670" s="18"/>
    </row>
    <row r="1671">
      <c r="J1671" s="18"/>
      <c r="K1671" s="18"/>
    </row>
    <row r="1672">
      <c r="J1672" s="18"/>
      <c r="K1672" s="18"/>
    </row>
    <row r="1673">
      <c r="J1673" s="18"/>
      <c r="K1673" s="18"/>
    </row>
    <row r="1674">
      <c r="J1674" s="18"/>
      <c r="K1674" s="18"/>
    </row>
    <row r="1675">
      <c r="J1675" s="18"/>
      <c r="K1675" s="18"/>
    </row>
    <row r="1676">
      <c r="J1676" s="18"/>
      <c r="K1676" s="18"/>
    </row>
    <row r="1677">
      <c r="J1677" s="18"/>
      <c r="K1677" s="18"/>
    </row>
    <row r="1678">
      <c r="J1678" s="18"/>
      <c r="K1678" s="18"/>
    </row>
    <row r="1679">
      <c r="J1679" s="18"/>
      <c r="K1679" s="18"/>
    </row>
    <row r="1680">
      <c r="J1680" s="18"/>
      <c r="K1680" s="18"/>
    </row>
    <row r="1681">
      <c r="J1681" s="18"/>
      <c r="K1681" s="18"/>
    </row>
    <row r="1682">
      <c r="J1682" s="18"/>
      <c r="K1682" s="18"/>
    </row>
    <row r="1683">
      <c r="J1683" s="18"/>
      <c r="K1683" s="18"/>
    </row>
    <row r="1684">
      <c r="J1684" s="18"/>
      <c r="K1684" s="18"/>
    </row>
    <row r="1685">
      <c r="J1685" s="18"/>
      <c r="K1685" s="18"/>
    </row>
    <row r="1686">
      <c r="J1686" s="18"/>
      <c r="K1686" s="18"/>
    </row>
    <row r="1687">
      <c r="J1687" s="18"/>
      <c r="K1687" s="18"/>
    </row>
    <row r="1688">
      <c r="J1688" s="18"/>
      <c r="K1688" s="18"/>
    </row>
    <row r="1689">
      <c r="J1689" s="18"/>
      <c r="K1689" s="18"/>
    </row>
    <row r="1690">
      <c r="J1690" s="18"/>
      <c r="K1690" s="18"/>
    </row>
    <row r="1691">
      <c r="J1691" s="18"/>
      <c r="K1691" s="18"/>
    </row>
    <row r="1692">
      <c r="J1692" s="18"/>
      <c r="K1692" s="18"/>
    </row>
    <row r="1693">
      <c r="J1693" s="18"/>
      <c r="K1693" s="18"/>
    </row>
    <row r="1694">
      <c r="J1694" s="18"/>
      <c r="K1694" s="18"/>
    </row>
    <row r="1695">
      <c r="J1695" s="18"/>
      <c r="K1695" s="18"/>
    </row>
    <row r="1696">
      <c r="J1696" s="18"/>
      <c r="K1696" s="18"/>
    </row>
    <row r="1697">
      <c r="J1697" s="18"/>
      <c r="K1697" s="18"/>
    </row>
    <row r="1698">
      <c r="J1698" s="18"/>
      <c r="K1698" s="18"/>
    </row>
    <row r="1699">
      <c r="J1699" s="18"/>
      <c r="K1699" s="18"/>
    </row>
    <row r="1700">
      <c r="J1700" s="18"/>
      <c r="K1700" s="18"/>
    </row>
    <row r="1701">
      <c r="J1701" s="18"/>
      <c r="K1701" s="18"/>
    </row>
    <row r="1702">
      <c r="J1702" s="18"/>
      <c r="K1702" s="18"/>
    </row>
    <row r="1703">
      <c r="J1703" s="18"/>
      <c r="K1703" s="18"/>
    </row>
    <row r="1704">
      <c r="J1704" s="18"/>
      <c r="K1704" s="18"/>
    </row>
    <row r="1705">
      <c r="J1705" s="18"/>
      <c r="K1705" s="18"/>
    </row>
    <row r="1706">
      <c r="J1706" s="18"/>
      <c r="K1706" s="18"/>
    </row>
    <row r="1707">
      <c r="J1707" s="18"/>
      <c r="K1707" s="18"/>
    </row>
    <row r="1708">
      <c r="J1708" s="18"/>
      <c r="K1708" s="18"/>
    </row>
    <row r="1709">
      <c r="J1709" s="18"/>
      <c r="K1709" s="18"/>
    </row>
    <row r="1710">
      <c r="J1710" s="18"/>
      <c r="K1710" s="18"/>
    </row>
    <row r="1711">
      <c r="J1711" s="18"/>
      <c r="K1711" s="18"/>
    </row>
    <row r="1712">
      <c r="J1712" s="18"/>
      <c r="K1712" s="18"/>
    </row>
    <row r="1713">
      <c r="J1713" s="18"/>
      <c r="K1713" s="18"/>
    </row>
    <row r="1714">
      <c r="J1714" s="18"/>
      <c r="K1714" s="18"/>
    </row>
    <row r="1715">
      <c r="J1715" s="18"/>
      <c r="K1715" s="18"/>
    </row>
    <row r="1716">
      <c r="J1716" s="18"/>
      <c r="K1716" s="18"/>
    </row>
    <row r="1717">
      <c r="J1717" s="18"/>
      <c r="K1717" s="18"/>
    </row>
    <row r="1718">
      <c r="J1718" s="18"/>
      <c r="K1718" s="18"/>
    </row>
    <row r="1719">
      <c r="J1719" s="18"/>
      <c r="K1719" s="18"/>
    </row>
    <row r="1720">
      <c r="J1720" s="18"/>
      <c r="K1720" s="18"/>
    </row>
    <row r="1721">
      <c r="J1721" s="18"/>
      <c r="K1721" s="18"/>
    </row>
    <row r="1722">
      <c r="J1722" s="18"/>
      <c r="K1722" s="18"/>
    </row>
    <row r="1723">
      <c r="J1723" s="18"/>
      <c r="K1723" s="18"/>
    </row>
    <row r="1724">
      <c r="J1724" s="18"/>
      <c r="K1724" s="18"/>
    </row>
    <row r="1725">
      <c r="J1725" s="18"/>
      <c r="K1725" s="18"/>
    </row>
    <row r="1726">
      <c r="J1726" s="18"/>
      <c r="K1726" s="18"/>
    </row>
    <row r="1727">
      <c r="J1727" s="18"/>
      <c r="K1727" s="18"/>
    </row>
    <row r="1728">
      <c r="J1728" s="18"/>
      <c r="K1728" s="18"/>
    </row>
    <row r="1729">
      <c r="J1729" s="18"/>
      <c r="K1729" s="18"/>
    </row>
    <row r="1730">
      <c r="J1730" s="18"/>
      <c r="K1730" s="18"/>
    </row>
    <row r="1731">
      <c r="J1731" s="18"/>
      <c r="K1731" s="18"/>
    </row>
    <row r="1732">
      <c r="J1732" s="18"/>
      <c r="K1732" s="18"/>
    </row>
    <row r="1733">
      <c r="J1733" s="18"/>
      <c r="K1733" s="18"/>
    </row>
    <row r="1734">
      <c r="J1734" s="18"/>
      <c r="K1734" s="18"/>
    </row>
    <row r="1735">
      <c r="J1735" s="18"/>
      <c r="K1735" s="18"/>
    </row>
    <row r="1736">
      <c r="J1736" s="18"/>
      <c r="K1736" s="18"/>
    </row>
    <row r="1737">
      <c r="J1737" s="18"/>
      <c r="K1737" s="18"/>
    </row>
    <row r="1738">
      <c r="J1738" s="18"/>
      <c r="K1738" s="18"/>
    </row>
    <row r="1739">
      <c r="J1739" s="18"/>
      <c r="K1739" s="18"/>
    </row>
    <row r="1740">
      <c r="J1740" s="18"/>
      <c r="K1740" s="18"/>
    </row>
    <row r="1741">
      <c r="J1741" s="18"/>
      <c r="K1741" s="18"/>
    </row>
    <row r="1742">
      <c r="J1742" s="18"/>
      <c r="K1742" s="18"/>
    </row>
    <row r="1743">
      <c r="J1743" s="18"/>
      <c r="K1743" s="18"/>
    </row>
    <row r="1744">
      <c r="J1744" s="18"/>
      <c r="K1744" s="18"/>
    </row>
    <row r="1745">
      <c r="J1745" s="18"/>
      <c r="K1745" s="18"/>
    </row>
    <row r="1746">
      <c r="J1746" s="18"/>
      <c r="K1746" s="18"/>
    </row>
    <row r="1747">
      <c r="J1747" s="18"/>
      <c r="K1747" s="18"/>
    </row>
    <row r="1748">
      <c r="J1748" s="18"/>
      <c r="K1748" s="18"/>
    </row>
    <row r="1749">
      <c r="J1749" s="18"/>
      <c r="K1749" s="18"/>
    </row>
    <row r="1750">
      <c r="J1750" s="18"/>
      <c r="K1750" s="18"/>
    </row>
    <row r="1751">
      <c r="J1751" s="18"/>
      <c r="K1751" s="18"/>
    </row>
    <row r="1752">
      <c r="J1752" s="18"/>
      <c r="K1752" s="18"/>
    </row>
    <row r="1753">
      <c r="J1753" s="18"/>
      <c r="K1753" s="18"/>
    </row>
    <row r="1754">
      <c r="J1754" s="18"/>
      <c r="K1754" s="18"/>
    </row>
    <row r="1755">
      <c r="J1755" s="18"/>
      <c r="K1755" s="18"/>
    </row>
    <row r="1756">
      <c r="J1756" s="18"/>
      <c r="K1756" s="18"/>
    </row>
    <row r="1757">
      <c r="J1757" s="18"/>
      <c r="K1757" s="18"/>
    </row>
    <row r="1758">
      <c r="J1758" s="18"/>
      <c r="K1758" s="18"/>
    </row>
    <row r="1759">
      <c r="J1759" s="18"/>
      <c r="K1759" s="18"/>
    </row>
    <row r="1760">
      <c r="J1760" s="18"/>
      <c r="K1760" s="18"/>
    </row>
    <row r="1761">
      <c r="J1761" s="18"/>
      <c r="K1761" s="18"/>
    </row>
    <row r="1762">
      <c r="J1762" s="18"/>
      <c r="K1762" s="18"/>
    </row>
    <row r="1763">
      <c r="J1763" s="18"/>
      <c r="K1763" s="18"/>
    </row>
    <row r="1764">
      <c r="J1764" s="18"/>
      <c r="K1764" s="18"/>
    </row>
    <row r="1765">
      <c r="J1765" s="18"/>
      <c r="K1765" s="18"/>
    </row>
    <row r="1766">
      <c r="J1766" s="18"/>
      <c r="K1766" s="18"/>
    </row>
    <row r="1767">
      <c r="J1767" s="18"/>
      <c r="K1767" s="18"/>
    </row>
    <row r="1768">
      <c r="J1768" s="18"/>
      <c r="K1768" s="18"/>
    </row>
    <row r="1769">
      <c r="J1769" s="18"/>
      <c r="K1769" s="18"/>
    </row>
    <row r="1770">
      <c r="J1770" s="18"/>
      <c r="K1770" s="18"/>
    </row>
    <row r="1771">
      <c r="J1771" s="18"/>
      <c r="K1771" s="18"/>
    </row>
    <row r="1772">
      <c r="J1772" s="18"/>
      <c r="K1772" s="18"/>
    </row>
    <row r="1773">
      <c r="J1773" s="18"/>
      <c r="K1773" s="18"/>
    </row>
    <row r="1774">
      <c r="J1774" s="18"/>
      <c r="K1774" s="18"/>
    </row>
    <row r="1775">
      <c r="J1775" s="18"/>
      <c r="K1775" s="18"/>
    </row>
    <row r="1776">
      <c r="J1776" s="18"/>
      <c r="K1776" s="18"/>
    </row>
    <row r="1777">
      <c r="J1777" s="18"/>
      <c r="K1777" s="18"/>
    </row>
    <row r="1778">
      <c r="J1778" s="18"/>
      <c r="K1778" s="18"/>
    </row>
    <row r="1779">
      <c r="J1779" s="18"/>
      <c r="K1779" s="18"/>
    </row>
    <row r="1780">
      <c r="J1780" s="18"/>
      <c r="K1780" s="18"/>
    </row>
    <row r="1781">
      <c r="J1781" s="18"/>
      <c r="K1781" s="18"/>
    </row>
    <row r="1782">
      <c r="J1782" s="18"/>
      <c r="K1782" s="18"/>
    </row>
    <row r="1783">
      <c r="J1783" s="18"/>
      <c r="K1783" s="18"/>
    </row>
    <row r="1784">
      <c r="J1784" s="18"/>
      <c r="K1784" s="18"/>
    </row>
    <row r="1785">
      <c r="J1785" s="18"/>
      <c r="K1785" s="18"/>
    </row>
    <row r="1786">
      <c r="J1786" s="18"/>
      <c r="K1786" s="18"/>
    </row>
    <row r="1787">
      <c r="J1787" s="18"/>
      <c r="K1787" s="18"/>
    </row>
    <row r="1788">
      <c r="J1788" s="18"/>
      <c r="K1788" s="18"/>
    </row>
    <row r="1789">
      <c r="J1789" s="18"/>
      <c r="K1789" s="18"/>
    </row>
    <row r="1790">
      <c r="J1790" s="18"/>
      <c r="K1790" s="18"/>
    </row>
    <row r="1791">
      <c r="J1791" s="18"/>
      <c r="K1791" s="18"/>
    </row>
    <row r="1792">
      <c r="J1792" s="18"/>
      <c r="K1792" s="18"/>
    </row>
    <row r="1793">
      <c r="J1793" s="18"/>
      <c r="K1793" s="18"/>
    </row>
    <row r="1794">
      <c r="J1794" s="18"/>
      <c r="K1794" s="18"/>
    </row>
    <row r="1795">
      <c r="J1795" s="18"/>
      <c r="K1795" s="18"/>
    </row>
    <row r="1796">
      <c r="J1796" s="18"/>
      <c r="K1796" s="18"/>
    </row>
    <row r="1797">
      <c r="J1797" s="18"/>
      <c r="K1797" s="18"/>
    </row>
    <row r="1798">
      <c r="J1798" s="18"/>
      <c r="K1798" s="18"/>
    </row>
    <row r="1799">
      <c r="J1799" s="18"/>
      <c r="K1799" s="18"/>
    </row>
    <row r="1800">
      <c r="J1800" s="18"/>
      <c r="K1800" s="18"/>
    </row>
    <row r="1801">
      <c r="J1801" s="18"/>
      <c r="K1801" s="18"/>
    </row>
    <row r="1802">
      <c r="J1802" s="18"/>
      <c r="K1802" s="18"/>
    </row>
    <row r="1803">
      <c r="J1803" s="18"/>
      <c r="K1803" s="18"/>
    </row>
    <row r="1804">
      <c r="J1804" s="18"/>
      <c r="K1804" s="18"/>
    </row>
    <row r="1805">
      <c r="J1805" s="18"/>
      <c r="K1805" s="18"/>
    </row>
    <row r="1806">
      <c r="J1806" s="18"/>
      <c r="K1806" s="18"/>
    </row>
    <row r="1807">
      <c r="J1807" s="18"/>
      <c r="K1807" s="18"/>
    </row>
    <row r="1808">
      <c r="J1808" s="18"/>
      <c r="K1808" s="18"/>
    </row>
    <row r="1809">
      <c r="J1809" s="18"/>
      <c r="K1809" s="18"/>
    </row>
    <row r="1810">
      <c r="J1810" s="18"/>
      <c r="K1810" s="18"/>
    </row>
    <row r="1811">
      <c r="J1811" s="18"/>
      <c r="K1811" s="18"/>
    </row>
    <row r="1812">
      <c r="J1812" s="18"/>
      <c r="K1812" s="18"/>
    </row>
    <row r="1813">
      <c r="J1813" s="18"/>
      <c r="K1813" s="18"/>
    </row>
    <row r="1814">
      <c r="J1814" s="18"/>
      <c r="K1814" s="18"/>
    </row>
    <row r="1815">
      <c r="J1815" s="18"/>
      <c r="K1815" s="18"/>
    </row>
    <row r="1816">
      <c r="J1816" s="18"/>
      <c r="K1816" s="18"/>
    </row>
    <row r="1817">
      <c r="J1817" s="18"/>
      <c r="K1817" s="18"/>
    </row>
    <row r="1818">
      <c r="J1818" s="18"/>
      <c r="K1818" s="18"/>
    </row>
    <row r="1819">
      <c r="J1819" s="18"/>
      <c r="K1819" s="18"/>
    </row>
    <row r="1820">
      <c r="J1820" s="18"/>
      <c r="K1820" s="18"/>
    </row>
    <row r="1821">
      <c r="J1821" s="18"/>
      <c r="K1821" s="18"/>
    </row>
    <row r="1822">
      <c r="J1822" s="18"/>
      <c r="K1822" s="18"/>
    </row>
    <row r="1823">
      <c r="J1823" s="18"/>
      <c r="K1823" s="18"/>
    </row>
    <row r="1824">
      <c r="J1824" s="18"/>
      <c r="K1824" s="18"/>
    </row>
    <row r="1825">
      <c r="J1825" s="18"/>
      <c r="K1825" s="18"/>
    </row>
    <row r="1826">
      <c r="J1826" s="18"/>
      <c r="K1826" s="18"/>
    </row>
    <row r="1827">
      <c r="J1827" s="18"/>
      <c r="K1827" s="18"/>
    </row>
    <row r="1828">
      <c r="J1828" s="18"/>
      <c r="K1828" s="18"/>
    </row>
    <row r="1829">
      <c r="J1829" s="18"/>
      <c r="K1829" s="18"/>
    </row>
    <row r="1830">
      <c r="J1830" s="18"/>
      <c r="K1830" s="18"/>
    </row>
    <row r="1831">
      <c r="J1831" s="18"/>
      <c r="K1831" s="18"/>
    </row>
    <row r="1832">
      <c r="J1832" s="18"/>
      <c r="K1832" s="18"/>
    </row>
    <row r="1833">
      <c r="J1833" s="18"/>
      <c r="K1833" s="18"/>
    </row>
    <row r="1834">
      <c r="J1834" s="18"/>
      <c r="K1834" s="18"/>
    </row>
    <row r="1835">
      <c r="J1835" s="18"/>
      <c r="K1835" s="18"/>
    </row>
    <row r="1836">
      <c r="J1836" s="18"/>
      <c r="K1836" s="18"/>
    </row>
    <row r="1837">
      <c r="J1837" s="18"/>
      <c r="K1837" s="18"/>
    </row>
    <row r="1838">
      <c r="J1838" s="18"/>
      <c r="K1838" s="18"/>
    </row>
    <row r="1839">
      <c r="J1839" s="18"/>
      <c r="K1839" s="18"/>
    </row>
    <row r="1840">
      <c r="J1840" s="18"/>
      <c r="K1840" s="18"/>
    </row>
    <row r="1841">
      <c r="J1841" s="18"/>
      <c r="K1841" s="18"/>
    </row>
    <row r="1842">
      <c r="J1842" s="18"/>
      <c r="K1842" s="18"/>
    </row>
    <row r="1843">
      <c r="J1843" s="18"/>
      <c r="K1843" s="18"/>
    </row>
    <row r="1844">
      <c r="J1844" s="18"/>
      <c r="K1844" s="18"/>
    </row>
    <row r="1845">
      <c r="J1845" s="18"/>
      <c r="K1845" s="18"/>
    </row>
    <row r="1846">
      <c r="J1846" s="18"/>
      <c r="K1846" s="18"/>
    </row>
    <row r="1847">
      <c r="J1847" s="18"/>
      <c r="K1847" s="18"/>
    </row>
    <row r="1848">
      <c r="J1848" s="18"/>
      <c r="K1848" s="18"/>
    </row>
    <row r="1849">
      <c r="J1849" s="18"/>
      <c r="K1849" s="18"/>
    </row>
    <row r="1850">
      <c r="J1850" s="18"/>
      <c r="K1850" s="18"/>
    </row>
    <row r="1851">
      <c r="J1851" s="18"/>
      <c r="K1851" s="18"/>
    </row>
    <row r="1852">
      <c r="J1852" s="18"/>
      <c r="K1852" s="18"/>
    </row>
    <row r="1853">
      <c r="J1853" s="18"/>
      <c r="K1853" s="18"/>
    </row>
    <row r="1854">
      <c r="J1854" s="18"/>
      <c r="K1854" s="18"/>
    </row>
    <row r="1855">
      <c r="J1855" s="18"/>
      <c r="K1855" s="18"/>
    </row>
    <row r="1856">
      <c r="J1856" s="18"/>
      <c r="K1856" s="18"/>
    </row>
    <row r="1857">
      <c r="J1857" s="18"/>
      <c r="K1857" s="18"/>
    </row>
    <row r="1858">
      <c r="J1858" s="18"/>
      <c r="K1858" s="18"/>
    </row>
    <row r="1859">
      <c r="J1859" s="18"/>
      <c r="K1859" s="18"/>
    </row>
    <row r="1860">
      <c r="J1860" s="18"/>
      <c r="K1860" s="18"/>
    </row>
    <row r="1861">
      <c r="J1861" s="18"/>
      <c r="K1861" s="18"/>
    </row>
    <row r="1862">
      <c r="J1862" s="18"/>
      <c r="K1862" s="18"/>
    </row>
    <row r="1863">
      <c r="J1863" s="18"/>
      <c r="K1863" s="18"/>
    </row>
    <row r="1864">
      <c r="J1864" s="18"/>
      <c r="K1864" s="18"/>
    </row>
    <row r="1865">
      <c r="J1865" s="18"/>
      <c r="K1865" s="18"/>
    </row>
    <row r="1866">
      <c r="J1866" s="18"/>
      <c r="K1866" s="18"/>
    </row>
    <row r="1867">
      <c r="J1867" s="18"/>
      <c r="K1867" s="18"/>
    </row>
    <row r="1868">
      <c r="J1868" s="18"/>
      <c r="K1868" s="18"/>
    </row>
    <row r="1869">
      <c r="J1869" s="18"/>
      <c r="K1869" s="18"/>
    </row>
    <row r="1870">
      <c r="J1870" s="18"/>
      <c r="K1870" s="18"/>
    </row>
    <row r="1871">
      <c r="J1871" s="18"/>
      <c r="K1871" s="18"/>
    </row>
    <row r="1872">
      <c r="J1872" s="18"/>
      <c r="K1872" s="18"/>
    </row>
    <row r="1873">
      <c r="J1873" s="18"/>
      <c r="K1873" s="18"/>
    </row>
    <row r="1874">
      <c r="J1874" s="18"/>
      <c r="K1874" s="18"/>
    </row>
    <row r="1875">
      <c r="J1875" s="18"/>
      <c r="K1875" s="18"/>
    </row>
    <row r="1876">
      <c r="J1876" s="18"/>
      <c r="K1876" s="18"/>
    </row>
    <row r="1877">
      <c r="J1877" s="18"/>
      <c r="K1877" s="18"/>
    </row>
    <row r="1878">
      <c r="J1878" s="18"/>
      <c r="K1878" s="18"/>
    </row>
    <row r="1879">
      <c r="J1879" s="18"/>
      <c r="K1879" s="18"/>
    </row>
    <row r="1880">
      <c r="J1880" s="18"/>
      <c r="K1880" s="18"/>
    </row>
    <row r="1881">
      <c r="J1881" s="18"/>
      <c r="K1881" s="18"/>
    </row>
    <row r="1882">
      <c r="J1882" s="18"/>
      <c r="K1882" s="18"/>
    </row>
    <row r="1883">
      <c r="J1883" s="18"/>
      <c r="K1883" s="18"/>
    </row>
    <row r="1884">
      <c r="J1884" s="18"/>
      <c r="K1884" s="18"/>
    </row>
    <row r="1885">
      <c r="J1885" s="18"/>
      <c r="K1885" s="18"/>
    </row>
    <row r="1886">
      <c r="J1886" s="18"/>
      <c r="K1886" s="18"/>
    </row>
    <row r="1887">
      <c r="J1887" s="18"/>
      <c r="K1887" s="18"/>
    </row>
    <row r="1888">
      <c r="J1888" s="18"/>
      <c r="K1888" s="18"/>
    </row>
    <row r="1889">
      <c r="J1889" s="18"/>
      <c r="K1889" s="18"/>
    </row>
    <row r="1890">
      <c r="J1890" s="18"/>
      <c r="K1890" s="18"/>
    </row>
    <row r="1891">
      <c r="J1891" s="18"/>
      <c r="K1891" s="18"/>
    </row>
    <row r="1892">
      <c r="J1892" s="18"/>
      <c r="K1892" s="18"/>
    </row>
    <row r="1893">
      <c r="J1893" s="18"/>
      <c r="K1893" s="18"/>
    </row>
    <row r="1894">
      <c r="J1894" s="18"/>
      <c r="K1894" s="18"/>
    </row>
    <row r="1895">
      <c r="J1895" s="18"/>
      <c r="K1895" s="18"/>
    </row>
    <row r="1896">
      <c r="J1896" s="18"/>
      <c r="K1896" s="18"/>
    </row>
    <row r="1897">
      <c r="J1897" s="18"/>
      <c r="K1897" s="18"/>
    </row>
    <row r="1898">
      <c r="J1898" s="18"/>
      <c r="K1898" s="18"/>
    </row>
    <row r="1899">
      <c r="J1899" s="18"/>
      <c r="K1899" s="18"/>
    </row>
  </sheetData>
  <dataValidations>
    <dataValidation type="list" allowBlank="1" showDropDown="1" showErrorMessage="1" sqref="B2:B229">
      <formula1>"False Ashoka,Sisham,Mango,Jamun,pipal,mango,Mango,Neem,Sapodilla,Sagwan/Teek,jamun,gulmohar,mango,Dead neem,Taad,Pipal,Mulberry,Coromandel Ailanto,Guava,waterberries,Dead Sisam,guava,Jamun,Sisam,Amaltash,Bamboo,water caltrop,mulberry,Guava,Kathal,Kadam"</formula1>
    </dataValidation>
    <dataValidation type="custom" allowBlank="1" showDropDown="1" sqref="D2:G229 J2:J229 L2:L229">
      <formula1/>
    </dataValidation>
  </dataValidations>
  <drawing r:id="rId3"/>
  <tableParts count="3">
    <tablePart r:id="rId7"/>
    <tablePart r:id="rId8"/>
    <tablePart r:id="rId9"/>
  </tableParts>
</worksheet>
</file>